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19042\Downloads\HW\CEN4908\plant-partner\Documentation\Contributions\"/>
    </mc:Choice>
  </mc:AlternateContent>
  <xr:revisionPtr revIDLastSave="0" documentId="13_ncr:1_{CC4C1079-1D8D-4671-B6D9-D43E38487ECB}" xr6:coauthVersionLast="47" xr6:coauthVersionMax="47" xr10:uidLastSave="{00000000-0000-0000-0000-000000000000}"/>
  <bookViews>
    <workbookView xWindow="-108" yWindow="-108" windowWidth="23256" windowHeight="12456" xr2:uid="{605B5A91-C2DF-4ED5-9E2C-366EB894E8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1" i="1" l="1"/>
</calcChain>
</file>

<file path=xl/sharedStrings.xml><?xml version="1.0" encoding="utf-8"?>
<sst xmlns="http://schemas.openxmlformats.org/spreadsheetml/2006/main" count="163" uniqueCount="97">
  <si>
    <t>Name:</t>
  </si>
  <si>
    <t>Aspen Boler</t>
  </si>
  <si>
    <t>Date:</t>
  </si>
  <si>
    <t>Starting Time:</t>
  </si>
  <si>
    <t>Ending  Time:</t>
  </si>
  <si>
    <t>Calculated Time Worked:</t>
  </si>
  <si>
    <t>Description:</t>
  </si>
  <si>
    <t>Check-in</t>
  </si>
  <si>
    <t>Design Draft</t>
  </si>
  <si>
    <t>General Category:</t>
  </si>
  <si>
    <t>Total Time:</t>
  </si>
  <si>
    <t>Helped rework design draft to fit within word limit</t>
  </si>
  <si>
    <t>Researched and wrote description for the project's deliverable artifacts</t>
  </si>
  <si>
    <t>GitHub Creation</t>
  </si>
  <si>
    <t>Reserved time slots for all of the group check-ins for Senior Design 1</t>
  </si>
  <si>
    <t>Webhook Set-up</t>
  </si>
  <si>
    <t>Timesheet</t>
  </si>
  <si>
    <t>Created Timesheet template for all members</t>
  </si>
  <si>
    <t>Sat down with group after class to define project and talked through all of Design Draft points (Deliverables, Requirements, Division of work, ect.)</t>
  </si>
  <si>
    <t xml:space="preserve">Check-in 2: Met with group &amp; Tyler, reviewed out submitted design draft, discussed adding more hardware specification, and discussed with  group members to start buying materials and begin research </t>
  </si>
  <si>
    <t>Helped Nicholas, according to research done by Carter Kreis, to set up and test Webhook so GitHub pushes would send to a discord channel</t>
  </si>
  <si>
    <t>Created repository, added members, created Project page, and created reports directory</t>
  </si>
  <si>
    <t>Check-in 1: Met with group &amp; Tyler, discussed our design draft, and asked questions regarding design plan and material buying</t>
  </si>
  <si>
    <t xml:space="preserve">Check-in 3: Met with group &amp; Tyler, discussed things to prepare for alpha build completion and resources to buy </t>
  </si>
  <si>
    <t>Research</t>
  </si>
  <si>
    <t>Began researching ESP32-Wroom and how to develop code; Found IDF with example/interfaces and made into submodule; Used submodule to configure ESP_IDF on Vscode and examine example projects</t>
  </si>
  <si>
    <t>Design Draft/Plans</t>
  </si>
  <si>
    <t>Pre-Alpha Dev.</t>
  </si>
  <si>
    <t>Flashed onto all three ESP32's, helped members install development on computers, defined structure for Sunday's end, created main skeleton, investigated examples to create hardware drivers</t>
  </si>
  <si>
    <t>Began writing report, determined how to integrate ADC into main alongside Fernando, began creating ADC peripheral interface and editted CMakeList.txt to include it after several attempts, tried to create ADC structure to center ADC initialization in one function but failed.</t>
  </si>
  <si>
    <t>Reviewed and editted cleaned up code/ReadMe, adjusted report</t>
  </si>
  <si>
    <t>Record and edit microprocessor portion of video</t>
  </si>
  <si>
    <t>Clean up readme and edit in frontend portion of video</t>
  </si>
  <si>
    <t>Check-in 4: Met with group &amp; Tyler, discussed how we needed to begin implementing communication for the prototype. Sat down with group and designated work to reach these goals.</t>
  </si>
  <si>
    <t>Check-in 5: Met with group &amp; Tyler, discussed work that was completed and set up group work day for following Thursday. Also discussed what work would be completed to meet goals and beginning communication and test sensors.</t>
  </si>
  <si>
    <t>Prototype Dev.</t>
  </si>
  <si>
    <t>Met with group to conduct work; Researched how to use 5V Micro Submersible Mini Water Pump, discovered it needed use of PWM,  configured PWM in main to test it, developed PWM peripheral module to use in main, integrated it into main, added photos, created branch for another sensor</t>
  </si>
  <si>
    <t>Began researching how Capacitive Soil Moisture Sensor should interface with the microcontroller and the type of data it outputs, started deciding how to modify ADC code to generalize and be used for both photoresitor and this sensor, made modular way to declare ADC for light or moisture sensor</t>
  </si>
  <si>
    <t>Changed file name's of ADC and related dependencies to make the module more generalizable</t>
  </si>
  <si>
    <t>Check-in 6: Met with group &amp; Tyler, updated everyone on features currently implemented and made plans for the following Tuesday for each person to complete</t>
  </si>
  <si>
    <t>Got together, started integrating ADC branch and rearranged main to work as desired for prototype, created GPIO for inputs and started investigating interrupt system, created external switch to interface with micro, looked into getting wifi created to flash onto ESP32</t>
  </si>
  <si>
    <t>Got together with group, started doing gpio integration to set up sensor set up, created prototype board,  connected and tested moisture sensor, connected and tested new photoresistor, created wires for relay and power bank and tested water motor, editted main to reflect prototype behavior</t>
  </si>
  <si>
    <t>Began looking through project requirements and making adjustments to ensure issues were updated, naming conventions were followed</t>
  </si>
  <si>
    <t>Modify project display, began creating report document</t>
  </si>
  <si>
    <t>Continuing report, modified readme</t>
  </si>
  <si>
    <t>Finished my portion of the report</t>
  </si>
  <si>
    <t>Modified ReadMe, modified plant structure</t>
  </si>
  <si>
    <t>Tested Fernando's Wi-Fi contributions, altered circuit, and uploaded finished circuit onto Github</t>
  </si>
  <si>
    <t>Continued documenting stuff for prototype submission, made circuit diagrams, editted some issues discussed what needed to be continued for submittables</t>
  </si>
  <si>
    <t>Modified report and ReadMe, began working on presentation, assisted Fernando and Nicholas test the state of the Wi-Fi from an alternate computer and integrating it into main.</t>
  </si>
  <si>
    <t>Begin working on powerpoint</t>
  </si>
  <si>
    <t>Experimented with ADC peripheral on DAD and reworked the peripheral  so it only needs to call an initialization function in main, reworked some aspects of main to avoid bad outputs/improve organization,  removed extra plant data structure, created heartbeat module</t>
  </si>
  <si>
    <t>Changed personal directory name and it killed everything, took me an hour but it forced me to reinstall everything to get it working</t>
  </si>
  <si>
    <t>Started modifying main to more closely match a routine based off of received signal from database. Also made some tickets and cleaned up code to be more organized and efficient</t>
  </si>
  <si>
    <t>Alpha Build</t>
  </si>
  <si>
    <t>Created pin diagram showing which pins were used for what; Integrated fertilizer pump addition to PWM and main and tested it out</t>
  </si>
  <si>
    <t>Check-in 6: Met with group &amp; Tyler, discussed what's gotten done and what needs to get done for alpha build, showed bought materials and began observing what modifications would be needed to integrate electronics into plastic build</t>
  </si>
  <si>
    <t>Realized I should go ahead and have main set up for potential of boolean to change depending on if auto-scheduling/care is on;  Created/modified tickets in project hub.</t>
  </si>
  <si>
    <t>Integrated PR into main; solder and heat shrinked additional wires to extend motor wire length; Built new mini circuit to make cleaner and tested with new motors to ensure everything still worked.</t>
  </si>
  <si>
    <t>Instructor Meeting</t>
  </si>
  <si>
    <t>Met up with group and instructor to discuss current project state and what needs to be done for documentation; fixed wire that fell out</t>
  </si>
  <si>
    <t>Merged wire motor branch</t>
  </si>
  <si>
    <t>Met up with group to test demo. Also received another 12v to 5v adapt, so began wire stripping and attaching fertilizer motor to a new relay; Utilized double-sided tape to rework our wire structure to make it more sound/easier to use and understand</t>
  </si>
  <si>
    <t>Check-in 7: Met with group &amp; Tyler to demo alpha build; Discussed what needed to be done and experimented with group to get MQTT client to send a signal to the microcontroller.</t>
  </si>
  <si>
    <t>Beta Build</t>
  </si>
  <si>
    <t>Experimented with group and successfully got MQTT client to communicate t microcontroller. Started modifying main so the main loop would be triggered from MQTT message</t>
  </si>
  <si>
    <t>Began cleaning up MQTT branch to prepare it for more clean merge</t>
  </si>
  <si>
    <t>Additional cleaning, fixed merge conficts, adjusted tickets. Tested to still be able to build/flash.</t>
  </si>
  <si>
    <t>^^ Had to split into 2 because excel hates new days.</t>
  </si>
  <si>
    <t xml:space="preserve">Met up with group and instructor to discuss current project state and what needs to be done for documentation; </t>
  </si>
  <si>
    <t>Tested MQTT on my own computer to see it still works, merged into main, updated tickets, set up rest of the code needed to test NPK sensor in person</t>
  </si>
  <si>
    <t>Tried to flash uart to see what would happen if test ran without sensor connected and realized current pin set up killed the micro.; switched pins until main worked again, now ready for test tomorrow in person</t>
  </si>
  <si>
    <t>Began attempting to connect NPK to microcontroller to test uart</t>
  </si>
  <si>
    <t>Discussed with group our plans to get everything completed before beta uild. Continued attempting to get uart to work and failed. Created new pin out diagram</t>
  </si>
  <si>
    <t>Check-in 8: Met with group &amp; Tyler to demo current status of beta build; Still couldn't get NPK working :(</t>
  </si>
  <si>
    <t>Implemented ability to toggle autoschedule in main depending on different topic messages</t>
  </si>
  <si>
    <t>Started testing NPK AND IT STILL DOESN'T WORK OH MY GOD</t>
  </si>
  <si>
    <t>Got together as a goup and began planning phsyical layout of board</t>
  </si>
  <si>
    <t>Finishing planning out board and began soldering. Got and tested LED and photoresistor</t>
  </si>
  <si>
    <t>Soldered everything together, tested everything, and then burnt out everything while trying to test it all</t>
  </si>
  <si>
    <t>Figured out what actually broke and fixed board with Sabrina. Replaced falling out wires with headers</t>
  </si>
  <si>
    <t>Release Candidate</t>
  </si>
  <si>
    <t>Help Nick merge database into main; Made it so http requests are tried until sent for at least 5 times. Updated project issues.</t>
  </si>
  <si>
    <t>Finished integrating fixed NPK code into main</t>
  </si>
  <si>
    <t>Started integrating fixed NPK code into main</t>
  </si>
  <si>
    <t>Met up with group and instructor to demonstrate and discuss current plans for the permenant housing/hardware for the project.</t>
  </si>
  <si>
    <t>Check-in 9: Met with Tyler to demo beta build</t>
  </si>
  <si>
    <t>Discussed what needed to be done and assigned tasks regarding NPK and PCB; Talked through 3D and decided on what structures to go through with; set up documentation and delegated when and who needed to complete what</t>
  </si>
  <si>
    <t>Tested NPK sensor and confirmed it worked with integrated main code. Then proceeded to complete Beta Tests notes.</t>
  </si>
  <si>
    <t>Worked on onshape design</t>
  </si>
  <si>
    <t>Check-in 9: Met with tyler to show integration of current database changes into main, communication error handling, NPK integration, the current arrival and soldering of the new PCB, and the plans for the 3D printed housing.</t>
  </si>
  <si>
    <t>Soldered header pins on newly arrived PCB</t>
  </si>
  <si>
    <t>Brought in new PCB's and components; Discussed what should be done for the 3D CAD, work left to be done, and future meetings</t>
  </si>
  <si>
    <t>Fixing onshape design</t>
  </si>
  <si>
    <t>Helped merge and fix inconsistied encountered with new handshake protocols and app., test PCB, adjusted 3D model to fit printer</t>
  </si>
  <si>
    <t>Had indstructor meeting at 12; Began integrating final build for TA demo, helped drill holes in water containers, threaded pipes through, soldered new PCB</t>
  </si>
  <si>
    <t>Release Candidate/Instructor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</si>
</sst>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7FCFF"/>
        <bgColor indexed="64"/>
      </patternFill>
    </fill>
    <fill>
      <patternFill patternType="solid">
        <fgColor theme="0"/>
        <bgColor indexed="64"/>
      </patternFill>
    </fill>
  </fills>
  <borders count="11">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19">
    <xf numFmtId="0" fontId="0" fillId="0" borderId="0" xfId="0"/>
    <xf numFmtId="0" fontId="1" fillId="2" borderId="3" xfId="0" applyFont="1" applyFill="1" applyBorder="1"/>
    <xf numFmtId="0" fontId="1" fillId="2" borderId="5" xfId="0" applyFont="1" applyFill="1" applyBorder="1"/>
    <xf numFmtId="0" fontId="1" fillId="2" borderId="8" xfId="0" applyFont="1" applyFill="1" applyBorder="1"/>
    <xf numFmtId="0" fontId="1" fillId="2" borderId="4" xfId="0" applyFont="1" applyFill="1" applyBorder="1"/>
    <xf numFmtId="0" fontId="0" fillId="3" borderId="4" xfId="0" applyFill="1" applyBorder="1"/>
    <xf numFmtId="46" fontId="0" fillId="3" borderId="4" xfId="0" applyNumberFormat="1" applyFill="1" applyBorder="1"/>
    <xf numFmtId="14" fontId="0" fillId="3" borderId="6" xfId="0" applyNumberFormat="1" applyFill="1" applyBorder="1" applyAlignment="1">
      <alignment horizontal="center"/>
    </xf>
    <xf numFmtId="0" fontId="0" fillId="3" borderId="9" xfId="0" applyFill="1" applyBorder="1" applyAlignment="1">
      <alignment horizontal="center"/>
    </xf>
    <xf numFmtId="18" fontId="0" fillId="3" borderId="9" xfId="0" applyNumberFormat="1" applyFill="1" applyBorder="1" applyAlignment="1">
      <alignment horizontal="center"/>
    </xf>
    <xf numFmtId="21" fontId="0" fillId="3" borderId="9" xfId="0" applyNumberFormat="1" applyFill="1" applyBorder="1" applyAlignment="1">
      <alignment horizontal="center"/>
    </xf>
    <xf numFmtId="0" fontId="0" fillId="3" borderId="10" xfId="0" applyFill="1" applyBorder="1" applyAlignment="1">
      <alignment horizontal="center"/>
    </xf>
    <xf numFmtId="21" fontId="0" fillId="3" borderId="10" xfId="0" applyNumberFormat="1" applyFill="1" applyBorder="1" applyAlignment="1">
      <alignment horizontal="center"/>
    </xf>
    <xf numFmtId="0" fontId="0" fillId="3" borderId="1" xfId="0" applyFill="1" applyBorder="1" applyAlignment="1">
      <alignment horizontal="left"/>
    </xf>
    <xf numFmtId="0" fontId="0" fillId="3" borderId="2" xfId="0" applyFill="1" applyBorder="1" applyAlignment="1">
      <alignment horizontal="left"/>
    </xf>
    <xf numFmtId="46" fontId="0" fillId="4" borderId="0" xfId="0" applyNumberFormat="1" applyFill="1"/>
    <xf numFmtId="14" fontId="0" fillId="3" borderId="7" xfId="0" applyNumberFormat="1" applyFill="1" applyBorder="1" applyAlignment="1">
      <alignment horizontal="center"/>
    </xf>
    <xf numFmtId="164" fontId="0" fillId="3" borderId="9" xfId="0" applyNumberFormat="1" applyFill="1" applyBorder="1" applyAlignment="1">
      <alignment horizontal="center"/>
    </xf>
    <xf numFmtId="164" fontId="0" fillId="3" borderId="10" xfId="0" applyNumberFormat="1" applyFill="1" applyBorder="1" applyAlignment="1">
      <alignment horizontal="center"/>
    </xf>
  </cellXfs>
  <cellStyles count="1">
    <cellStyle name="Normal" xfId="0" builtinId="0"/>
  </cellStyles>
  <dxfs count="0"/>
  <tableStyles count="0" defaultTableStyle="TableStyleMedium2" defaultPivotStyle="PivotStyleLight16"/>
  <colors>
    <mruColors>
      <color rgb="FFF7FCFF"/>
      <color rgb="FFE5F5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1167-01B1-413D-AB29-4165F3CF20BA}">
  <dimension ref="A1:F199"/>
  <sheetViews>
    <sheetView tabSelected="1" topLeftCell="A47" zoomScale="73" workbookViewId="0">
      <selection activeCell="C76" sqref="C76"/>
    </sheetView>
  </sheetViews>
  <sheetFormatPr defaultRowHeight="14.4" x14ac:dyDescent="0.3"/>
  <cols>
    <col min="1" max="1" width="10.77734375" bestFit="1" customWidth="1"/>
    <col min="2" max="2" width="16" bestFit="1" customWidth="1"/>
    <col min="3" max="3" width="12.5546875" bestFit="1" customWidth="1"/>
    <col min="4" max="4" width="11.88671875" bestFit="1" customWidth="1"/>
    <col min="5" max="5" width="22.21875" bestFit="1" customWidth="1"/>
    <col min="6" max="6" width="234.21875" bestFit="1" customWidth="1"/>
  </cols>
  <sheetData>
    <row r="1" spans="1:6" ht="15" thickBot="1" x14ac:dyDescent="0.35">
      <c r="A1" s="1" t="s">
        <v>0</v>
      </c>
      <c r="B1" s="5" t="s">
        <v>1</v>
      </c>
      <c r="D1" s="1" t="s">
        <v>10</v>
      </c>
      <c r="E1" s="6">
        <f>SUM(E4:E199)</f>
        <v>7.1784722222222204</v>
      </c>
      <c r="F1" s="15"/>
    </row>
    <row r="2" spans="1:6" ht="15" thickBot="1" x14ac:dyDescent="0.35"/>
    <row r="3" spans="1:6" ht="15" thickBot="1" x14ac:dyDescent="0.35">
      <c r="A3" s="2" t="s">
        <v>2</v>
      </c>
      <c r="B3" s="3" t="s">
        <v>9</v>
      </c>
      <c r="C3" s="3" t="s">
        <v>3</v>
      </c>
      <c r="D3" s="3" t="s">
        <v>4</v>
      </c>
      <c r="E3" s="3" t="s">
        <v>5</v>
      </c>
      <c r="F3" s="4" t="s">
        <v>6</v>
      </c>
    </row>
    <row r="4" spans="1:6" x14ac:dyDescent="0.3">
      <c r="A4" s="7">
        <v>45933</v>
      </c>
      <c r="B4" s="8" t="s">
        <v>26</v>
      </c>
      <c r="C4" s="9">
        <v>0.47013888888888888</v>
      </c>
      <c r="D4" s="9">
        <v>0.61041666666666672</v>
      </c>
      <c r="E4" s="10">
        <f>D4-C4</f>
        <v>0.14027777777777783</v>
      </c>
      <c r="F4" s="13" t="s">
        <v>18</v>
      </c>
    </row>
    <row r="5" spans="1:6" x14ac:dyDescent="0.3">
      <c r="A5" s="7">
        <v>45934</v>
      </c>
      <c r="B5" s="8" t="s">
        <v>8</v>
      </c>
      <c r="C5" s="9">
        <v>0.4284722222222222</v>
      </c>
      <c r="D5" s="9">
        <v>0.49652777777777779</v>
      </c>
      <c r="E5" s="10">
        <f t="shared" ref="E5:E68" si="0">D5-C5</f>
        <v>6.8055555555555591E-2</v>
      </c>
      <c r="F5" s="13" t="s">
        <v>12</v>
      </c>
    </row>
    <row r="6" spans="1:6" x14ac:dyDescent="0.3">
      <c r="A6" s="7">
        <v>45934</v>
      </c>
      <c r="B6" s="8" t="s">
        <v>7</v>
      </c>
      <c r="C6" s="9">
        <v>0.71180555555555558</v>
      </c>
      <c r="D6" s="9">
        <v>0.73263888888888884</v>
      </c>
      <c r="E6" s="10">
        <f t="shared" si="0"/>
        <v>2.0833333333333259E-2</v>
      </c>
      <c r="F6" s="13" t="s">
        <v>14</v>
      </c>
    </row>
    <row r="7" spans="1:6" x14ac:dyDescent="0.3">
      <c r="A7" s="7">
        <v>45935</v>
      </c>
      <c r="B7" s="8" t="s">
        <v>8</v>
      </c>
      <c r="C7" s="9">
        <v>0.75972222222222219</v>
      </c>
      <c r="D7" s="9">
        <v>0.85416666666666663</v>
      </c>
      <c r="E7" s="10">
        <f t="shared" si="0"/>
        <v>9.4444444444444442E-2</v>
      </c>
      <c r="F7" s="13" t="s">
        <v>11</v>
      </c>
    </row>
    <row r="8" spans="1:6" x14ac:dyDescent="0.3">
      <c r="A8" s="7">
        <v>45936</v>
      </c>
      <c r="B8" s="8" t="s">
        <v>7</v>
      </c>
      <c r="C8" s="9">
        <v>0.625</v>
      </c>
      <c r="D8" s="9">
        <v>0.64722222222222225</v>
      </c>
      <c r="E8" s="10">
        <f t="shared" si="0"/>
        <v>2.2222222222222254E-2</v>
      </c>
      <c r="F8" s="13" t="s">
        <v>22</v>
      </c>
    </row>
    <row r="9" spans="1:6" x14ac:dyDescent="0.3">
      <c r="A9" s="7">
        <v>45940</v>
      </c>
      <c r="B9" s="8" t="s">
        <v>13</v>
      </c>
      <c r="C9" s="9">
        <v>0.44097222222222221</v>
      </c>
      <c r="D9" s="9">
        <v>0.47986111111111113</v>
      </c>
      <c r="E9" s="10">
        <f t="shared" si="0"/>
        <v>3.8888888888888917E-2</v>
      </c>
      <c r="F9" s="13" t="s">
        <v>21</v>
      </c>
    </row>
    <row r="10" spans="1:6" x14ac:dyDescent="0.3">
      <c r="A10" s="7">
        <v>45942</v>
      </c>
      <c r="B10" s="8" t="s">
        <v>15</v>
      </c>
      <c r="C10" s="9">
        <v>0.84375</v>
      </c>
      <c r="D10" s="9">
        <v>0.85486111111111107</v>
      </c>
      <c r="E10" s="10">
        <f t="shared" si="0"/>
        <v>1.1111111111111072E-2</v>
      </c>
      <c r="F10" s="13" t="s">
        <v>20</v>
      </c>
    </row>
    <row r="11" spans="1:6" x14ac:dyDescent="0.3">
      <c r="A11" s="7">
        <v>45944</v>
      </c>
      <c r="B11" s="8" t="s">
        <v>7</v>
      </c>
      <c r="C11" s="9">
        <v>0.47222222222222221</v>
      </c>
      <c r="D11" s="9">
        <v>0.49375000000000002</v>
      </c>
      <c r="E11" s="10">
        <f t="shared" si="0"/>
        <v>2.1527777777777812E-2</v>
      </c>
      <c r="F11" s="13" t="s">
        <v>19</v>
      </c>
    </row>
    <row r="12" spans="1:6" x14ac:dyDescent="0.3">
      <c r="A12" s="7">
        <v>45947</v>
      </c>
      <c r="B12" s="8" t="s">
        <v>16</v>
      </c>
      <c r="C12" s="9">
        <v>0.625</v>
      </c>
      <c r="D12" s="9">
        <v>0.66666666666666663</v>
      </c>
      <c r="E12" s="10">
        <f t="shared" si="0"/>
        <v>4.166666666666663E-2</v>
      </c>
      <c r="F12" s="13" t="s">
        <v>17</v>
      </c>
    </row>
    <row r="13" spans="1:6" x14ac:dyDescent="0.3">
      <c r="A13" s="7">
        <v>45950</v>
      </c>
      <c r="B13" s="8" t="s">
        <v>7</v>
      </c>
      <c r="C13" s="9">
        <v>0.625</v>
      </c>
      <c r="D13" s="9">
        <v>0.64722222222222225</v>
      </c>
      <c r="E13" s="10">
        <f t="shared" si="0"/>
        <v>2.2222222222222254E-2</v>
      </c>
      <c r="F13" s="13" t="s">
        <v>23</v>
      </c>
    </row>
    <row r="14" spans="1:6" x14ac:dyDescent="0.3">
      <c r="A14" s="7">
        <v>45954</v>
      </c>
      <c r="B14" s="8" t="s">
        <v>24</v>
      </c>
      <c r="C14" s="9">
        <v>0.45694444444444443</v>
      </c>
      <c r="D14" s="17">
        <v>0.57152777777777775</v>
      </c>
      <c r="E14" s="10">
        <f t="shared" si="0"/>
        <v>0.11458333333333331</v>
      </c>
      <c r="F14" s="13" t="s">
        <v>25</v>
      </c>
    </row>
    <row r="15" spans="1:6" x14ac:dyDescent="0.3">
      <c r="A15" s="7">
        <v>45954</v>
      </c>
      <c r="B15" s="8" t="s">
        <v>27</v>
      </c>
      <c r="C15" s="17">
        <v>0.60416666666666663</v>
      </c>
      <c r="D15" s="17">
        <v>0.88680555555555551</v>
      </c>
      <c r="E15" s="10">
        <f t="shared" si="0"/>
        <v>0.28263888888888888</v>
      </c>
      <c r="F15" s="13" t="s">
        <v>28</v>
      </c>
    </row>
    <row r="16" spans="1:6" x14ac:dyDescent="0.3">
      <c r="A16" s="7">
        <v>45955</v>
      </c>
      <c r="B16" s="8" t="s">
        <v>27</v>
      </c>
      <c r="C16" s="17">
        <v>0.41666666666666669</v>
      </c>
      <c r="D16" s="17">
        <v>0.68402777777777779</v>
      </c>
      <c r="E16" s="10">
        <f t="shared" si="0"/>
        <v>0.2673611111111111</v>
      </c>
      <c r="F16" s="13" t="s">
        <v>29</v>
      </c>
    </row>
    <row r="17" spans="1:6" x14ac:dyDescent="0.3">
      <c r="A17" s="7">
        <v>45955</v>
      </c>
      <c r="B17" s="8" t="s">
        <v>27</v>
      </c>
      <c r="C17" s="17">
        <v>0.85138888888888886</v>
      </c>
      <c r="D17" s="17">
        <v>0.90972222222222221</v>
      </c>
      <c r="E17" s="10">
        <f t="shared" si="0"/>
        <v>5.8333333333333348E-2</v>
      </c>
      <c r="F17" s="13" t="s">
        <v>30</v>
      </c>
    </row>
    <row r="18" spans="1:6" x14ac:dyDescent="0.3">
      <c r="A18" s="7">
        <v>45956</v>
      </c>
      <c r="B18" s="8" t="s">
        <v>27</v>
      </c>
      <c r="C18" s="17">
        <v>0.45833333333333331</v>
      </c>
      <c r="D18" s="17">
        <v>0.5</v>
      </c>
      <c r="E18" s="10">
        <f t="shared" si="0"/>
        <v>4.1666666666666685E-2</v>
      </c>
      <c r="F18" s="13" t="s">
        <v>31</v>
      </c>
    </row>
    <row r="19" spans="1:6" x14ac:dyDescent="0.3">
      <c r="A19" s="7">
        <v>45956</v>
      </c>
      <c r="B19" s="8" t="s">
        <v>27</v>
      </c>
      <c r="C19" s="17">
        <v>0.65972222222222221</v>
      </c>
      <c r="D19" s="17">
        <v>0.68402777777777779</v>
      </c>
      <c r="E19" s="10">
        <f t="shared" si="0"/>
        <v>2.430555555555558E-2</v>
      </c>
      <c r="F19" s="13" t="s">
        <v>32</v>
      </c>
    </row>
    <row r="20" spans="1:6" x14ac:dyDescent="0.3">
      <c r="A20" s="7">
        <v>45958</v>
      </c>
      <c r="B20" s="8" t="s">
        <v>7</v>
      </c>
      <c r="C20" s="17">
        <v>0.47222222222222221</v>
      </c>
      <c r="D20" s="17">
        <v>0.49305555555555558</v>
      </c>
      <c r="E20" s="10">
        <f t="shared" si="0"/>
        <v>2.083333333333337E-2</v>
      </c>
      <c r="F20" s="13" t="s">
        <v>33</v>
      </c>
    </row>
    <row r="21" spans="1:6" x14ac:dyDescent="0.3">
      <c r="A21" s="7">
        <v>45965</v>
      </c>
      <c r="B21" s="8" t="s">
        <v>7</v>
      </c>
      <c r="C21" s="17">
        <v>0.47222222222222221</v>
      </c>
      <c r="D21" s="17">
        <v>0.49305555555555558</v>
      </c>
      <c r="E21" s="10">
        <f t="shared" si="0"/>
        <v>2.083333333333337E-2</v>
      </c>
      <c r="F21" s="13" t="s">
        <v>34</v>
      </c>
    </row>
    <row r="22" spans="1:6" x14ac:dyDescent="0.3">
      <c r="A22" s="7">
        <v>45967</v>
      </c>
      <c r="B22" s="8" t="s">
        <v>35</v>
      </c>
      <c r="C22" s="17">
        <v>0.4236111111111111</v>
      </c>
      <c r="D22" s="17">
        <v>0.61875000000000002</v>
      </c>
      <c r="E22" s="10">
        <f t="shared" si="0"/>
        <v>0.19513888888888892</v>
      </c>
      <c r="F22" s="13" t="s">
        <v>36</v>
      </c>
    </row>
    <row r="23" spans="1:6" x14ac:dyDescent="0.3">
      <c r="A23" s="7">
        <v>45970</v>
      </c>
      <c r="B23" s="8" t="s">
        <v>35</v>
      </c>
      <c r="C23" s="17">
        <v>0.47222222222222221</v>
      </c>
      <c r="D23" s="17">
        <v>0.50416666666666665</v>
      </c>
      <c r="E23" s="10">
        <f t="shared" si="0"/>
        <v>3.1944444444444442E-2</v>
      </c>
      <c r="F23" s="13" t="s">
        <v>37</v>
      </c>
    </row>
    <row r="24" spans="1:6" x14ac:dyDescent="0.3">
      <c r="A24" s="7">
        <v>45970</v>
      </c>
      <c r="B24" s="8" t="s">
        <v>35</v>
      </c>
      <c r="C24" s="17">
        <v>0.80555555555555558</v>
      </c>
      <c r="D24" s="17">
        <v>0.81944444444444442</v>
      </c>
      <c r="E24" s="10">
        <f t="shared" si="0"/>
        <v>1.388888888888884E-2</v>
      </c>
      <c r="F24" s="13" t="s">
        <v>38</v>
      </c>
    </row>
    <row r="25" spans="1:6" x14ac:dyDescent="0.3">
      <c r="A25" s="7">
        <v>45971</v>
      </c>
      <c r="B25" s="8" t="s">
        <v>35</v>
      </c>
      <c r="C25" s="17">
        <v>0.625</v>
      </c>
      <c r="D25" s="17">
        <v>0.64583333333333337</v>
      </c>
      <c r="E25" s="10">
        <f t="shared" si="0"/>
        <v>2.083333333333337E-2</v>
      </c>
      <c r="F25" s="13" t="s">
        <v>39</v>
      </c>
    </row>
    <row r="26" spans="1:6" x14ac:dyDescent="0.3">
      <c r="A26" s="7">
        <v>45972</v>
      </c>
      <c r="B26" s="8" t="s">
        <v>35</v>
      </c>
      <c r="C26" s="17">
        <v>0.45833333333333331</v>
      </c>
      <c r="D26" s="17">
        <v>0.73541666666666672</v>
      </c>
      <c r="E26" s="10">
        <f t="shared" si="0"/>
        <v>0.2770833333333334</v>
      </c>
      <c r="F26" s="13" t="s">
        <v>40</v>
      </c>
    </row>
    <row r="27" spans="1:6" x14ac:dyDescent="0.3">
      <c r="A27" s="7">
        <v>45974</v>
      </c>
      <c r="B27" s="8" t="s">
        <v>35</v>
      </c>
      <c r="C27" s="17">
        <v>0.45833333333333331</v>
      </c>
      <c r="D27" s="17">
        <v>0.73819444444444449</v>
      </c>
      <c r="E27" s="10">
        <f t="shared" si="0"/>
        <v>0.27986111111111117</v>
      </c>
      <c r="F27" s="13" t="s">
        <v>41</v>
      </c>
    </row>
    <row r="28" spans="1:6" x14ac:dyDescent="0.3">
      <c r="A28" s="7">
        <v>45975</v>
      </c>
      <c r="B28" s="8" t="s">
        <v>35</v>
      </c>
      <c r="C28" s="17">
        <v>0.48958333333333331</v>
      </c>
      <c r="D28" s="17">
        <v>0.5625</v>
      </c>
      <c r="E28" s="10">
        <f t="shared" si="0"/>
        <v>7.2916666666666685E-2</v>
      </c>
      <c r="F28" s="13" t="s">
        <v>42</v>
      </c>
    </row>
    <row r="29" spans="1:6" x14ac:dyDescent="0.3">
      <c r="A29" s="7">
        <v>45975</v>
      </c>
      <c r="B29" s="8" t="s">
        <v>35</v>
      </c>
      <c r="C29" s="17">
        <v>0.59027777777777779</v>
      </c>
      <c r="D29" s="17">
        <v>0.62430555555555556</v>
      </c>
      <c r="E29" s="10">
        <f t="shared" si="0"/>
        <v>3.4027777777777768E-2</v>
      </c>
      <c r="F29" s="13" t="s">
        <v>47</v>
      </c>
    </row>
    <row r="30" spans="1:6" x14ac:dyDescent="0.3">
      <c r="A30" s="7">
        <v>45975</v>
      </c>
      <c r="B30" s="8" t="s">
        <v>35</v>
      </c>
      <c r="C30" s="17">
        <v>0.625</v>
      </c>
      <c r="D30" s="17">
        <v>0.75972222222222219</v>
      </c>
      <c r="E30" s="10">
        <f t="shared" si="0"/>
        <v>0.13472222222222219</v>
      </c>
      <c r="F30" s="13" t="s">
        <v>48</v>
      </c>
    </row>
    <row r="31" spans="1:6" x14ac:dyDescent="0.3">
      <c r="A31" s="7">
        <v>45975</v>
      </c>
      <c r="B31" s="8" t="s">
        <v>35</v>
      </c>
      <c r="C31" s="17">
        <v>0.89861111111111114</v>
      </c>
      <c r="D31" s="17">
        <v>0.9555555555555556</v>
      </c>
      <c r="E31" s="10">
        <f t="shared" si="0"/>
        <v>5.6944444444444464E-2</v>
      </c>
      <c r="F31" s="13" t="s">
        <v>43</v>
      </c>
    </row>
    <row r="32" spans="1:6" x14ac:dyDescent="0.3">
      <c r="A32" s="7">
        <v>45976</v>
      </c>
      <c r="B32" s="8" t="s">
        <v>35</v>
      </c>
      <c r="C32" s="17">
        <v>0.46250000000000002</v>
      </c>
      <c r="D32" s="17">
        <v>0.5625</v>
      </c>
      <c r="E32" s="10">
        <f t="shared" si="0"/>
        <v>9.9999999999999978E-2</v>
      </c>
      <c r="F32" s="13" t="s">
        <v>44</v>
      </c>
    </row>
    <row r="33" spans="1:6" x14ac:dyDescent="0.3">
      <c r="A33" s="7">
        <v>45976</v>
      </c>
      <c r="B33" s="8" t="s">
        <v>35</v>
      </c>
      <c r="C33" s="17">
        <v>0.69027777777777777</v>
      </c>
      <c r="D33" s="17">
        <v>0.89236111111111116</v>
      </c>
      <c r="E33" s="10">
        <f t="shared" si="0"/>
        <v>0.20208333333333339</v>
      </c>
      <c r="F33" s="13" t="s">
        <v>45</v>
      </c>
    </row>
    <row r="34" spans="1:6" x14ac:dyDescent="0.3">
      <c r="A34" s="7">
        <v>45976</v>
      </c>
      <c r="B34" s="8" t="s">
        <v>35</v>
      </c>
      <c r="C34" s="17">
        <v>0.90138888888888891</v>
      </c>
      <c r="D34" s="17">
        <v>0.92013888888888884</v>
      </c>
      <c r="E34" s="10">
        <f t="shared" si="0"/>
        <v>1.8749999999999933E-2</v>
      </c>
      <c r="F34" s="13" t="s">
        <v>46</v>
      </c>
    </row>
    <row r="35" spans="1:6" x14ac:dyDescent="0.3">
      <c r="A35" s="7">
        <v>45977</v>
      </c>
      <c r="B35" s="8" t="s">
        <v>35</v>
      </c>
      <c r="C35" s="17">
        <v>0.47430555555555554</v>
      </c>
      <c r="D35" s="17">
        <v>0.62152777777777779</v>
      </c>
      <c r="E35" s="10">
        <f t="shared" si="0"/>
        <v>0.14722222222222225</v>
      </c>
      <c r="F35" s="13" t="s">
        <v>49</v>
      </c>
    </row>
    <row r="36" spans="1:6" x14ac:dyDescent="0.3">
      <c r="A36" s="7">
        <v>45977</v>
      </c>
      <c r="B36" s="8" t="s">
        <v>35</v>
      </c>
      <c r="C36" s="17">
        <v>0.74305555555555558</v>
      </c>
      <c r="D36" s="17">
        <v>0.89583333333333337</v>
      </c>
      <c r="E36" s="10">
        <f t="shared" si="0"/>
        <v>0.15277777777777779</v>
      </c>
      <c r="F36" s="13" t="s">
        <v>50</v>
      </c>
    </row>
    <row r="37" spans="1:6" x14ac:dyDescent="0.3">
      <c r="A37" s="7">
        <v>46030</v>
      </c>
      <c r="B37" s="8" t="s">
        <v>54</v>
      </c>
      <c r="C37" s="17">
        <v>0.59027777777777779</v>
      </c>
      <c r="D37" s="17">
        <v>0.79166666666666663</v>
      </c>
      <c r="E37" s="10">
        <f t="shared" si="0"/>
        <v>0.20138888888888884</v>
      </c>
      <c r="F37" s="13" t="s">
        <v>51</v>
      </c>
    </row>
    <row r="38" spans="1:6" x14ac:dyDescent="0.3">
      <c r="A38" s="7">
        <v>46038</v>
      </c>
      <c r="B38" s="8" t="s">
        <v>54</v>
      </c>
      <c r="C38" s="17">
        <v>0.67222222222222228</v>
      </c>
      <c r="D38" s="17">
        <v>0.74930555555555556</v>
      </c>
      <c r="E38" s="10">
        <f t="shared" si="0"/>
        <v>7.7083333333333282E-2</v>
      </c>
      <c r="F38" s="13" t="s">
        <v>52</v>
      </c>
    </row>
    <row r="39" spans="1:6" x14ac:dyDescent="0.3">
      <c r="A39" s="7">
        <v>46038</v>
      </c>
      <c r="B39" s="8" t="s">
        <v>54</v>
      </c>
      <c r="C39" s="17">
        <v>0.74930555555555556</v>
      </c>
      <c r="D39" s="17">
        <v>0.83125000000000004</v>
      </c>
      <c r="E39" s="10">
        <f t="shared" si="0"/>
        <v>8.1944444444444486E-2</v>
      </c>
      <c r="F39" s="13" t="s">
        <v>53</v>
      </c>
    </row>
    <row r="40" spans="1:6" x14ac:dyDescent="0.3">
      <c r="A40" s="7">
        <v>46043</v>
      </c>
      <c r="B40" s="8" t="s">
        <v>54</v>
      </c>
      <c r="C40" s="17">
        <v>0.54513888888888884</v>
      </c>
      <c r="D40" s="17">
        <v>0.58750000000000002</v>
      </c>
      <c r="E40" s="10">
        <f t="shared" si="0"/>
        <v>4.2361111111111183E-2</v>
      </c>
      <c r="F40" s="13" t="s">
        <v>55</v>
      </c>
    </row>
    <row r="41" spans="1:6" x14ac:dyDescent="0.3">
      <c r="A41" s="7">
        <v>46045</v>
      </c>
      <c r="B41" s="8" t="s">
        <v>7</v>
      </c>
      <c r="C41" s="17">
        <v>0.44444444444444442</v>
      </c>
      <c r="D41" s="17">
        <v>0.49236111111111114</v>
      </c>
      <c r="E41" s="10">
        <f t="shared" si="0"/>
        <v>4.7916666666666718E-2</v>
      </c>
      <c r="F41" s="13" t="s">
        <v>56</v>
      </c>
    </row>
    <row r="42" spans="1:6" x14ac:dyDescent="0.3">
      <c r="A42" s="7">
        <v>46045</v>
      </c>
      <c r="B42" s="8" t="s">
        <v>54</v>
      </c>
      <c r="C42" s="17">
        <v>0.72916666666666663</v>
      </c>
      <c r="D42" s="17">
        <v>0.77152777777777781</v>
      </c>
      <c r="E42" s="10">
        <f t="shared" si="0"/>
        <v>4.2361111111111183E-2</v>
      </c>
      <c r="F42" s="13" t="s">
        <v>57</v>
      </c>
    </row>
    <row r="43" spans="1:6" x14ac:dyDescent="0.3">
      <c r="A43" s="7">
        <v>46048</v>
      </c>
      <c r="B43" s="8" t="s">
        <v>54</v>
      </c>
      <c r="C43" s="17">
        <v>0.58333333333333337</v>
      </c>
      <c r="D43" s="17">
        <v>0.7104166666666667</v>
      </c>
      <c r="E43" s="10">
        <f t="shared" si="0"/>
        <v>0.12708333333333333</v>
      </c>
      <c r="F43" s="13" t="s">
        <v>58</v>
      </c>
    </row>
    <row r="44" spans="1:6" x14ac:dyDescent="0.3">
      <c r="A44" s="7">
        <v>46051</v>
      </c>
      <c r="B44" s="8" t="s">
        <v>59</v>
      </c>
      <c r="C44" s="17">
        <v>0.4548611111111111</v>
      </c>
      <c r="D44" s="17">
        <v>0.4826388888888889</v>
      </c>
      <c r="E44" s="10">
        <f t="shared" si="0"/>
        <v>2.777777777777779E-2</v>
      </c>
      <c r="F44" s="13" t="s">
        <v>60</v>
      </c>
    </row>
    <row r="45" spans="1:6" x14ac:dyDescent="0.3">
      <c r="A45" s="7">
        <v>46051</v>
      </c>
      <c r="B45" s="8" t="s">
        <v>54</v>
      </c>
      <c r="C45" s="17">
        <v>0.70138888888888884</v>
      </c>
      <c r="D45" s="17">
        <v>0.70694444444444449</v>
      </c>
      <c r="E45" s="10">
        <f t="shared" si="0"/>
        <v>5.5555555555556468E-3</v>
      </c>
      <c r="F45" s="13" t="s">
        <v>61</v>
      </c>
    </row>
    <row r="46" spans="1:6" x14ac:dyDescent="0.3">
      <c r="A46" s="7">
        <v>46058</v>
      </c>
      <c r="B46" s="8" t="s">
        <v>54</v>
      </c>
      <c r="C46" s="17">
        <v>0.44444444444444442</v>
      </c>
      <c r="D46" s="17">
        <v>0.58333333333333337</v>
      </c>
      <c r="E46" s="10">
        <f t="shared" si="0"/>
        <v>0.13888888888888895</v>
      </c>
      <c r="F46" s="13" t="s">
        <v>62</v>
      </c>
    </row>
    <row r="47" spans="1:6" x14ac:dyDescent="0.3">
      <c r="A47" s="7">
        <v>46059</v>
      </c>
      <c r="B47" s="8" t="s">
        <v>7</v>
      </c>
      <c r="C47" s="17">
        <v>0.44444444444444442</v>
      </c>
      <c r="D47" s="17">
        <v>0.5131944444444444</v>
      </c>
      <c r="E47" s="10">
        <f t="shared" si="0"/>
        <v>6.8749999999999978E-2</v>
      </c>
      <c r="F47" s="13" t="s">
        <v>63</v>
      </c>
    </row>
    <row r="48" spans="1:6" x14ac:dyDescent="0.3">
      <c r="A48" s="7">
        <v>46063</v>
      </c>
      <c r="B48" s="8" t="s">
        <v>64</v>
      </c>
      <c r="C48" s="17">
        <v>0.44444444444444442</v>
      </c>
      <c r="D48" s="17">
        <v>0.58333333333333337</v>
      </c>
      <c r="E48" s="10">
        <f t="shared" si="0"/>
        <v>0.13888888888888895</v>
      </c>
      <c r="F48" s="13" t="s">
        <v>65</v>
      </c>
    </row>
    <row r="49" spans="1:6" x14ac:dyDescent="0.3">
      <c r="A49" s="7">
        <v>46063</v>
      </c>
      <c r="B49" s="8" t="s">
        <v>64</v>
      </c>
      <c r="C49" s="17">
        <v>0.82013888888888886</v>
      </c>
      <c r="D49" s="17">
        <v>0.86597222222222225</v>
      </c>
      <c r="E49" s="10">
        <f t="shared" si="0"/>
        <v>4.5833333333333393E-2</v>
      </c>
      <c r="F49" s="13" t="s">
        <v>66</v>
      </c>
    </row>
    <row r="50" spans="1:6" x14ac:dyDescent="0.3">
      <c r="A50" s="7">
        <v>46063</v>
      </c>
      <c r="B50" s="8" t="s">
        <v>64</v>
      </c>
      <c r="C50" s="17">
        <v>0.95</v>
      </c>
      <c r="D50" s="17">
        <v>0.99930555555555556</v>
      </c>
      <c r="E50" s="10">
        <f t="shared" si="0"/>
        <v>4.9305555555555602E-2</v>
      </c>
      <c r="F50" s="13" t="s">
        <v>67</v>
      </c>
    </row>
    <row r="51" spans="1:6" x14ac:dyDescent="0.3">
      <c r="A51" s="7">
        <v>46064</v>
      </c>
      <c r="B51" s="8" t="s">
        <v>64</v>
      </c>
      <c r="C51" s="17">
        <v>0</v>
      </c>
      <c r="D51" s="17">
        <v>1.4583333333333334E-2</v>
      </c>
      <c r="E51" s="10">
        <f t="shared" si="0"/>
        <v>1.4583333333333334E-2</v>
      </c>
      <c r="F51" s="13" t="s">
        <v>68</v>
      </c>
    </row>
    <row r="52" spans="1:6" x14ac:dyDescent="0.3">
      <c r="A52" s="7">
        <v>46064</v>
      </c>
      <c r="B52" s="8" t="s">
        <v>64</v>
      </c>
      <c r="C52" s="17">
        <v>0.47291666666666665</v>
      </c>
      <c r="D52" s="17">
        <v>0.5708333333333333</v>
      </c>
      <c r="E52" s="10">
        <f t="shared" si="0"/>
        <v>9.7916666666666652E-2</v>
      </c>
      <c r="F52" s="13" t="s">
        <v>70</v>
      </c>
    </row>
    <row r="53" spans="1:6" x14ac:dyDescent="0.3">
      <c r="A53" s="7">
        <v>46064</v>
      </c>
      <c r="B53" s="8" t="s">
        <v>64</v>
      </c>
      <c r="C53" s="17">
        <v>0.77083333333333337</v>
      </c>
      <c r="D53" s="17">
        <v>0.8256944444444444</v>
      </c>
      <c r="E53" s="10">
        <f>D53-C53</f>
        <v>5.4861111111111027E-2</v>
      </c>
      <c r="F53" s="13" t="s">
        <v>71</v>
      </c>
    </row>
    <row r="54" spans="1:6" x14ac:dyDescent="0.3">
      <c r="A54" s="7">
        <v>46065</v>
      </c>
      <c r="B54" s="8" t="s">
        <v>64</v>
      </c>
      <c r="C54" s="17">
        <v>0.4513888888888889</v>
      </c>
      <c r="D54" s="17">
        <v>0.51388888888888884</v>
      </c>
      <c r="E54" s="10">
        <f>D54-C54</f>
        <v>6.2499999999999944E-2</v>
      </c>
      <c r="F54" s="13" t="s">
        <v>72</v>
      </c>
    </row>
    <row r="55" spans="1:6" x14ac:dyDescent="0.3">
      <c r="A55" s="7">
        <v>46065</v>
      </c>
      <c r="B55" s="8" t="s">
        <v>59</v>
      </c>
      <c r="C55" s="17">
        <v>0.51388888888888884</v>
      </c>
      <c r="D55" s="17">
        <v>0.53402777777777777</v>
      </c>
      <c r="E55" s="10">
        <f t="shared" si="0"/>
        <v>2.0138888888888928E-2</v>
      </c>
      <c r="F55" s="13" t="s">
        <v>69</v>
      </c>
    </row>
    <row r="56" spans="1:6" x14ac:dyDescent="0.3">
      <c r="A56" s="7">
        <v>46066</v>
      </c>
      <c r="B56" s="8" t="s">
        <v>64</v>
      </c>
      <c r="C56" s="17">
        <v>0.53402777777777777</v>
      </c>
      <c r="D56" s="17">
        <v>0.6</v>
      </c>
      <c r="E56" s="10">
        <f t="shared" si="0"/>
        <v>6.597222222222221E-2</v>
      </c>
      <c r="F56" s="13" t="s">
        <v>73</v>
      </c>
    </row>
    <row r="57" spans="1:6" x14ac:dyDescent="0.3">
      <c r="A57" s="7">
        <v>46066</v>
      </c>
      <c r="B57" s="8" t="s">
        <v>7</v>
      </c>
      <c r="C57" s="17">
        <v>0.44444444444444442</v>
      </c>
      <c r="D57" s="17">
        <v>0.60416666666666663</v>
      </c>
      <c r="E57" s="10">
        <f t="shared" si="0"/>
        <v>0.15972222222222221</v>
      </c>
      <c r="F57" s="13" t="s">
        <v>74</v>
      </c>
    </row>
    <row r="58" spans="1:6" x14ac:dyDescent="0.3">
      <c r="A58" s="7">
        <v>46068</v>
      </c>
      <c r="B58" s="8" t="s">
        <v>64</v>
      </c>
      <c r="C58" s="17">
        <v>0.85069444444444442</v>
      </c>
      <c r="D58" s="17">
        <v>0.875</v>
      </c>
      <c r="E58" s="10">
        <f t="shared" si="0"/>
        <v>2.430555555555558E-2</v>
      </c>
      <c r="F58" s="13" t="s">
        <v>75</v>
      </c>
    </row>
    <row r="59" spans="1:6" x14ac:dyDescent="0.3">
      <c r="A59" s="7">
        <v>46069</v>
      </c>
      <c r="B59" s="8" t="s">
        <v>64</v>
      </c>
      <c r="C59" s="17">
        <v>0.46875</v>
      </c>
      <c r="D59" s="17">
        <v>0.52847222222222223</v>
      </c>
      <c r="E59" s="10">
        <f t="shared" si="0"/>
        <v>5.9722222222222232E-2</v>
      </c>
      <c r="F59" s="13" t="s">
        <v>76</v>
      </c>
    </row>
    <row r="60" spans="1:6" x14ac:dyDescent="0.3">
      <c r="A60" s="7">
        <v>46070</v>
      </c>
      <c r="B60" s="8" t="s">
        <v>64</v>
      </c>
      <c r="C60" s="17">
        <v>0.44444444444444442</v>
      </c>
      <c r="D60" s="17">
        <v>0.53333333333333333</v>
      </c>
      <c r="E60" s="10">
        <f t="shared" si="0"/>
        <v>8.8888888888888906E-2</v>
      </c>
      <c r="F60" s="13" t="s">
        <v>77</v>
      </c>
    </row>
    <row r="61" spans="1:6" x14ac:dyDescent="0.3">
      <c r="A61" s="7">
        <v>46070</v>
      </c>
      <c r="B61" s="8" t="s">
        <v>64</v>
      </c>
      <c r="C61" s="17">
        <v>0.57430555555555551</v>
      </c>
      <c r="D61" s="17">
        <v>0.74097222222222225</v>
      </c>
      <c r="E61" s="10">
        <f t="shared" si="0"/>
        <v>0.16666666666666674</v>
      </c>
      <c r="F61" s="13" t="s">
        <v>78</v>
      </c>
    </row>
    <row r="62" spans="1:6" x14ac:dyDescent="0.3">
      <c r="A62" s="7">
        <v>46072</v>
      </c>
      <c r="B62" s="8" t="s">
        <v>64</v>
      </c>
      <c r="C62" s="17">
        <v>0.56944444444444442</v>
      </c>
      <c r="D62" s="17">
        <v>0.83958333333333335</v>
      </c>
      <c r="E62" s="10">
        <f t="shared" si="0"/>
        <v>0.27013888888888893</v>
      </c>
      <c r="F62" s="13" t="s">
        <v>79</v>
      </c>
    </row>
    <row r="63" spans="1:6" x14ac:dyDescent="0.3">
      <c r="A63" s="7">
        <v>46073</v>
      </c>
      <c r="B63" s="8" t="s">
        <v>64</v>
      </c>
      <c r="C63" s="17">
        <v>0.45833333333333331</v>
      </c>
      <c r="D63" s="17">
        <v>0.71250000000000002</v>
      </c>
      <c r="E63" s="10">
        <f t="shared" si="0"/>
        <v>0.25416666666666671</v>
      </c>
      <c r="F63" s="13" t="s">
        <v>80</v>
      </c>
    </row>
    <row r="64" spans="1:6" x14ac:dyDescent="0.3">
      <c r="A64" s="7">
        <v>46083</v>
      </c>
      <c r="B64" s="8" t="s">
        <v>64</v>
      </c>
      <c r="C64" s="17">
        <v>0.41666666666666669</v>
      </c>
      <c r="D64" s="17">
        <v>0.5</v>
      </c>
      <c r="E64" s="10">
        <f t="shared" si="0"/>
        <v>8.3333333333333315E-2</v>
      </c>
      <c r="F64" s="13" t="s">
        <v>86</v>
      </c>
    </row>
    <row r="65" spans="1:6" x14ac:dyDescent="0.3">
      <c r="A65" s="7">
        <v>46084</v>
      </c>
      <c r="B65" s="8" t="s">
        <v>81</v>
      </c>
      <c r="C65" s="17">
        <v>0.45833333333333331</v>
      </c>
      <c r="D65" s="17">
        <v>0.53611111111111109</v>
      </c>
      <c r="E65" s="10">
        <f t="shared" si="0"/>
        <v>7.7777777777777779E-2</v>
      </c>
      <c r="F65" s="13" t="s">
        <v>82</v>
      </c>
    </row>
    <row r="66" spans="1:6" x14ac:dyDescent="0.3">
      <c r="A66" s="7">
        <v>46091</v>
      </c>
      <c r="B66" s="8" t="s">
        <v>81</v>
      </c>
      <c r="C66" s="17">
        <v>0.44444444444444442</v>
      </c>
      <c r="D66" s="17">
        <v>0.56111111111111112</v>
      </c>
      <c r="E66" s="10">
        <f t="shared" si="0"/>
        <v>0.1166666666666667</v>
      </c>
      <c r="F66" s="13" t="s">
        <v>87</v>
      </c>
    </row>
    <row r="67" spans="1:6" x14ac:dyDescent="0.3">
      <c r="A67" s="7">
        <v>46091</v>
      </c>
      <c r="B67" s="8" t="s">
        <v>81</v>
      </c>
      <c r="C67" s="17">
        <v>0.69166666666666665</v>
      </c>
      <c r="D67" s="17">
        <v>0.70972222222222225</v>
      </c>
      <c r="E67" s="10">
        <f t="shared" si="0"/>
        <v>1.8055555555555602E-2</v>
      </c>
      <c r="F67" s="13" t="s">
        <v>84</v>
      </c>
    </row>
    <row r="68" spans="1:6" x14ac:dyDescent="0.3">
      <c r="A68" s="7">
        <v>46091</v>
      </c>
      <c r="B68" s="8" t="s">
        <v>81</v>
      </c>
      <c r="C68" s="17">
        <v>0.83472222222222225</v>
      </c>
      <c r="D68" s="17">
        <v>0.92083333333333328</v>
      </c>
      <c r="E68" s="10">
        <f t="shared" si="0"/>
        <v>8.6111111111111027E-2</v>
      </c>
      <c r="F68" s="13" t="s">
        <v>83</v>
      </c>
    </row>
    <row r="69" spans="1:6" x14ac:dyDescent="0.3">
      <c r="A69" s="7">
        <v>46093</v>
      </c>
      <c r="B69" s="8" t="s">
        <v>59</v>
      </c>
      <c r="C69" s="17">
        <v>0.4861111111111111</v>
      </c>
      <c r="D69" s="17">
        <v>0.5</v>
      </c>
      <c r="E69" s="10">
        <f t="shared" ref="E69:E132" si="1">D69-C69</f>
        <v>1.3888888888888895E-2</v>
      </c>
      <c r="F69" s="13" t="s">
        <v>85</v>
      </c>
    </row>
    <row r="70" spans="1:6" x14ac:dyDescent="0.3">
      <c r="A70" s="7">
        <v>46093</v>
      </c>
      <c r="B70" s="8" t="s">
        <v>81</v>
      </c>
      <c r="C70" s="17">
        <v>0.5</v>
      </c>
      <c r="D70" s="17">
        <v>0.51388888888888884</v>
      </c>
      <c r="E70" s="10">
        <f t="shared" si="1"/>
        <v>1.388888888888884E-2</v>
      </c>
      <c r="F70" s="13" t="s">
        <v>90</v>
      </c>
    </row>
    <row r="71" spans="1:6" x14ac:dyDescent="0.3">
      <c r="A71" s="7">
        <v>46093</v>
      </c>
      <c r="B71" s="8" t="s">
        <v>81</v>
      </c>
      <c r="C71" s="17">
        <v>0.51388888888888884</v>
      </c>
      <c r="D71" s="17">
        <v>0.56874999999999998</v>
      </c>
      <c r="E71" s="10">
        <f t="shared" si="1"/>
        <v>5.4861111111111138E-2</v>
      </c>
      <c r="F71" s="13" t="s">
        <v>88</v>
      </c>
    </row>
    <row r="72" spans="1:6" x14ac:dyDescent="0.3">
      <c r="A72" s="7">
        <v>46094</v>
      </c>
      <c r="B72" s="8" t="s">
        <v>81</v>
      </c>
      <c r="C72" s="17">
        <v>0.78472222222222221</v>
      </c>
      <c r="D72" s="17">
        <v>0.90625</v>
      </c>
      <c r="E72" s="10">
        <f t="shared" si="1"/>
        <v>0.12152777777777779</v>
      </c>
      <c r="F72" s="13" t="s">
        <v>89</v>
      </c>
    </row>
    <row r="73" spans="1:6" x14ac:dyDescent="0.3">
      <c r="A73" s="7">
        <v>46095</v>
      </c>
      <c r="B73" s="8" t="s">
        <v>81</v>
      </c>
      <c r="C73" s="17">
        <v>0.5</v>
      </c>
      <c r="D73" s="17">
        <v>0.65625</v>
      </c>
      <c r="E73" s="10">
        <f t="shared" si="1"/>
        <v>0.15625</v>
      </c>
      <c r="F73" s="13" t="s">
        <v>89</v>
      </c>
    </row>
    <row r="74" spans="1:6" x14ac:dyDescent="0.3">
      <c r="A74" s="7">
        <v>46105</v>
      </c>
      <c r="B74" s="8" t="s">
        <v>81</v>
      </c>
      <c r="C74" s="17">
        <v>0.49305555555555558</v>
      </c>
      <c r="D74" s="17">
        <v>0.54166666666666663</v>
      </c>
      <c r="E74" s="10">
        <f t="shared" si="1"/>
        <v>4.8611111111111049E-2</v>
      </c>
      <c r="F74" s="13" t="s">
        <v>92</v>
      </c>
    </row>
    <row r="75" spans="1:6" x14ac:dyDescent="0.3">
      <c r="A75" s="7">
        <v>46106</v>
      </c>
      <c r="B75" s="8" t="s">
        <v>81</v>
      </c>
      <c r="C75" s="17">
        <v>0.41319444444444442</v>
      </c>
      <c r="D75" s="17">
        <v>0.47638888888888886</v>
      </c>
      <c r="E75" s="10">
        <f t="shared" si="1"/>
        <v>6.3194444444444442E-2</v>
      </c>
      <c r="F75" s="13" t="s">
        <v>89</v>
      </c>
    </row>
    <row r="76" spans="1:6" x14ac:dyDescent="0.3">
      <c r="A76" s="7">
        <v>46106</v>
      </c>
      <c r="B76" s="8" t="s">
        <v>81</v>
      </c>
      <c r="C76" s="17">
        <v>0.625</v>
      </c>
      <c r="D76" s="17">
        <v>0.67013888888888884</v>
      </c>
      <c r="E76" s="10">
        <f t="shared" si="1"/>
        <v>4.513888888888884E-2</v>
      </c>
      <c r="F76" s="13" t="s">
        <v>89</v>
      </c>
    </row>
    <row r="77" spans="1:6" x14ac:dyDescent="0.3">
      <c r="A77" s="7">
        <v>46107</v>
      </c>
      <c r="B77" s="8" t="s">
        <v>81</v>
      </c>
      <c r="C77" s="17">
        <v>0.44444444444444442</v>
      </c>
      <c r="D77" s="17">
        <v>0.53472222222222221</v>
      </c>
      <c r="E77" s="10">
        <f t="shared" si="1"/>
        <v>9.027777777777779E-2</v>
      </c>
      <c r="F77" s="13" t="s">
        <v>91</v>
      </c>
    </row>
    <row r="78" spans="1:6" x14ac:dyDescent="0.3">
      <c r="A78" s="7">
        <v>46109</v>
      </c>
      <c r="B78" s="8" t="s">
        <v>81</v>
      </c>
      <c r="C78" s="17">
        <v>0.44791666666666669</v>
      </c>
      <c r="D78" s="17">
        <v>0.65416666666666667</v>
      </c>
      <c r="E78" s="10">
        <f t="shared" si="1"/>
        <v>0.20624999999999999</v>
      </c>
      <c r="F78" s="13" t="s">
        <v>93</v>
      </c>
    </row>
    <row r="79" spans="1:6" x14ac:dyDescent="0.3">
      <c r="A79" s="7">
        <v>46112</v>
      </c>
      <c r="B79" s="8" t="s">
        <v>81</v>
      </c>
      <c r="C79" s="17">
        <v>0.44444444444444442</v>
      </c>
      <c r="D79" s="17">
        <v>0.66180555555555554</v>
      </c>
      <c r="E79" s="10">
        <f t="shared" si="1"/>
        <v>0.21736111111111112</v>
      </c>
      <c r="F79" s="13" t="s">
        <v>94</v>
      </c>
    </row>
    <row r="80" spans="1:6" x14ac:dyDescent="0.3">
      <c r="A80" s="7">
        <v>46114</v>
      </c>
      <c r="B80" s="8" t="s">
        <v>96</v>
      </c>
      <c r="C80" s="17">
        <v>0.39930555555555558</v>
      </c>
      <c r="D80" s="17">
        <v>0.67986111111111114</v>
      </c>
      <c r="E80" s="10">
        <f t="shared" si="1"/>
        <v>0.28055555555555556</v>
      </c>
      <c r="F80" s="13" t="s">
        <v>95</v>
      </c>
    </row>
    <row r="81" spans="1:6" x14ac:dyDescent="0.3">
      <c r="A81" s="7"/>
      <c r="B81" s="8"/>
      <c r="C81" s="17"/>
      <c r="D81" s="17"/>
      <c r="E81" s="10">
        <f t="shared" si="1"/>
        <v>0</v>
      </c>
      <c r="F81" s="13"/>
    </row>
    <row r="82" spans="1:6" x14ac:dyDescent="0.3">
      <c r="A82" s="7"/>
      <c r="B82" s="8"/>
      <c r="C82" s="17"/>
      <c r="D82" s="17"/>
      <c r="E82" s="10">
        <f t="shared" si="1"/>
        <v>0</v>
      </c>
      <c r="F82" s="13"/>
    </row>
    <row r="83" spans="1:6" x14ac:dyDescent="0.3">
      <c r="A83" s="7"/>
      <c r="B83" s="8"/>
      <c r="C83" s="17"/>
      <c r="D83" s="17"/>
      <c r="E83" s="10">
        <f t="shared" si="1"/>
        <v>0</v>
      </c>
      <c r="F83" s="13"/>
    </row>
    <row r="84" spans="1:6" x14ac:dyDescent="0.3">
      <c r="A84" s="7"/>
      <c r="B84" s="8"/>
      <c r="C84" s="17"/>
      <c r="D84" s="17"/>
      <c r="E84" s="10">
        <f t="shared" si="1"/>
        <v>0</v>
      </c>
      <c r="F84" s="13"/>
    </row>
    <row r="85" spans="1:6" x14ac:dyDescent="0.3">
      <c r="A85" s="7"/>
      <c r="B85" s="8"/>
      <c r="C85" s="17"/>
      <c r="D85" s="17"/>
      <c r="E85" s="10">
        <f t="shared" si="1"/>
        <v>0</v>
      </c>
      <c r="F85" s="13"/>
    </row>
    <row r="86" spans="1:6" x14ac:dyDescent="0.3">
      <c r="A86" s="7"/>
      <c r="B86" s="8"/>
      <c r="C86" s="17"/>
      <c r="D86" s="17"/>
      <c r="E86" s="10">
        <f t="shared" si="1"/>
        <v>0</v>
      </c>
      <c r="F86" s="13"/>
    </row>
    <row r="87" spans="1:6" x14ac:dyDescent="0.3">
      <c r="A87" s="7"/>
      <c r="B87" s="8"/>
      <c r="C87" s="17"/>
      <c r="D87" s="17"/>
      <c r="E87" s="10">
        <f t="shared" si="1"/>
        <v>0</v>
      </c>
      <c r="F87" s="13"/>
    </row>
    <row r="88" spans="1:6" x14ac:dyDescent="0.3">
      <c r="A88" s="7"/>
      <c r="B88" s="8"/>
      <c r="C88" s="17"/>
      <c r="D88" s="17"/>
      <c r="E88" s="10">
        <f t="shared" si="1"/>
        <v>0</v>
      </c>
      <c r="F88" s="13"/>
    </row>
    <row r="89" spans="1:6" x14ac:dyDescent="0.3">
      <c r="A89" s="7"/>
      <c r="B89" s="8"/>
      <c r="C89" s="17"/>
      <c r="D89" s="17"/>
      <c r="E89" s="10">
        <f t="shared" si="1"/>
        <v>0</v>
      </c>
      <c r="F89" s="13"/>
    </row>
    <row r="90" spans="1:6" x14ac:dyDescent="0.3">
      <c r="A90" s="7"/>
      <c r="B90" s="8"/>
      <c r="C90" s="17"/>
      <c r="D90" s="17"/>
      <c r="E90" s="10">
        <f t="shared" si="1"/>
        <v>0</v>
      </c>
      <c r="F90" s="13"/>
    </row>
    <row r="91" spans="1:6" x14ac:dyDescent="0.3">
      <c r="A91" s="7"/>
      <c r="B91" s="8"/>
      <c r="C91" s="17"/>
      <c r="D91" s="17"/>
      <c r="E91" s="10">
        <f t="shared" si="1"/>
        <v>0</v>
      </c>
      <c r="F91" s="13"/>
    </row>
    <row r="92" spans="1:6" x14ac:dyDescent="0.3">
      <c r="A92" s="7"/>
      <c r="B92" s="8"/>
      <c r="C92" s="17"/>
      <c r="D92" s="17"/>
      <c r="E92" s="10">
        <f t="shared" si="1"/>
        <v>0</v>
      </c>
      <c r="F92" s="13"/>
    </row>
    <row r="93" spans="1:6" x14ac:dyDescent="0.3">
      <c r="A93" s="7"/>
      <c r="B93" s="8"/>
      <c r="C93" s="17"/>
      <c r="D93" s="17"/>
      <c r="E93" s="10">
        <f t="shared" si="1"/>
        <v>0</v>
      </c>
      <c r="F93" s="13"/>
    </row>
    <row r="94" spans="1:6" x14ac:dyDescent="0.3">
      <c r="A94" s="7"/>
      <c r="B94" s="8"/>
      <c r="C94" s="17"/>
      <c r="D94" s="17"/>
      <c r="E94" s="10">
        <f t="shared" si="1"/>
        <v>0</v>
      </c>
      <c r="F94" s="13"/>
    </row>
    <row r="95" spans="1:6" x14ac:dyDescent="0.3">
      <c r="A95" s="7"/>
      <c r="B95" s="8"/>
      <c r="C95" s="17"/>
      <c r="D95" s="17"/>
      <c r="E95" s="10">
        <f t="shared" si="1"/>
        <v>0</v>
      </c>
      <c r="F95" s="13"/>
    </row>
    <row r="96" spans="1:6" x14ac:dyDescent="0.3">
      <c r="A96" s="7"/>
      <c r="B96" s="8"/>
      <c r="C96" s="17"/>
      <c r="D96" s="17"/>
      <c r="E96" s="10">
        <f t="shared" si="1"/>
        <v>0</v>
      </c>
      <c r="F96" s="13"/>
    </row>
    <row r="97" spans="1:6" x14ac:dyDescent="0.3">
      <c r="A97" s="7"/>
      <c r="B97" s="8"/>
      <c r="C97" s="17"/>
      <c r="D97" s="17"/>
      <c r="E97" s="10">
        <f t="shared" si="1"/>
        <v>0</v>
      </c>
      <c r="F97" s="13"/>
    </row>
    <row r="98" spans="1:6" x14ac:dyDescent="0.3">
      <c r="A98" s="7"/>
      <c r="B98" s="8"/>
      <c r="C98" s="17"/>
      <c r="D98" s="17"/>
      <c r="E98" s="10">
        <f t="shared" si="1"/>
        <v>0</v>
      </c>
      <c r="F98" s="13"/>
    </row>
    <row r="99" spans="1:6" x14ac:dyDescent="0.3">
      <c r="A99" s="7"/>
      <c r="B99" s="8"/>
      <c r="C99" s="17"/>
      <c r="D99" s="17"/>
      <c r="E99" s="10">
        <f t="shared" si="1"/>
        <v>0</v>
      </c>
      <c r="F99" s="13"/>
    </row>
    <row r="100" spans="1:6" x14ac:dyDescent="0.3">
      <c r="A100" s="7"/>
      <c r="B100" s="8"/>
      <c r="C100" s="17"/>
      <c r="D100" s="17"/>
      <c r="E100" s="10">
        <f t="shared" si="1"/>
        <v>0</v>
      </c>
      <c r="F100" s="13"/>
    </row>
    <row r="101" spans="1:6" x14ac:dyDescent="0.3">
      <c r="A101" s="7"/>
      <c r="B101" s="8"/>
      <c r="C101" s="17"/>
      <c r="D101" s="17"/>
      <c r="E101" s="10">
        <f t="shared" si="1"/>
        <v>0</v>
      </c>
      <c r="F101" s="13"/>
    </row>
    <row r="102" spans="1:6" x14ac:dyDescent="0.3">
      <c r="A102" s="7"/>
      <c r="B102" s="8"/>
      <c r="C102" s="17"/>
      <c r="D102" s="17"/>
      <c r="E102" s="10">
        <f t="shared" si="1"/>
        <v>0</v>
      </c>
      <c r="F102" s="13"/>
    </row>
    <row r="103" spans="1:6" x14ac:dyDescent="0.3">
      <c r="A103" s="7"/>
      <c r="B103" s="8"/>
      <c r="C103" s="17"/>
      <c r="D103" s="17"/>
      <c r="E103" s="10">
        <f t="shared" si="1"/>
        <v>0</v>
      </c>
      <c r="F103" s="13"/>
    </row>
    <row r="104" spans="1:6" x14ac:dyDescent="0.3">
      <c r="A104" s="7"/>
      <c r="B104" s="8"/>
      <c r="C104" s="17"/>
      <c r="D104" s="17"/>
      <c r="E104" s="10">
        <f t="shared" si="1"/>
        <v>0</v>
      </c>
      <c r="F104" s="13"/>
    </row>
    <row r="105" spans="1:6" x14ac:dyDescent="0.3">
      <c r="A105" s="7"/>
      <c r="B105" s="8"/>
      <c r="C105" s="17"/>
      <c r="D105" s="17"/>
      <c r="E105" s="10">
        <f t="shared" si="1"/>
        <v>0</v>
      </c>
      <c r="F105" s="13"/>
    </row>
    <row r="106" spans="1:6" x14ac:dyDescent="0.3">
      <c r="A106" s="7"/>
      <c r="B106" s="8"/>
      <c r="C106" s="17"/>
      <c r="D106" s="17"/>
      <c r="E106" s="10">
        <f t="shared" si="1"/>
        <v>0</v>
      </c>
      <c r="F106" s="13"/>
    </row>
    <row r="107" spans="1:6" x14ac:dyDescent="0.3">
      <c r="A107" s="7"/>
      <c r="B107" s="8"/>
      <c r="C107" s="17"/>
      <c r="D107" s="17"/>
      <c r="E107" s="10">
        <f t="shared" si="1"/>
        <v>0</v>
      </c>
      <c r="F107" s="13"/>
    </row>
    <row r="108" spans="1:6" x14ac:dyDescent="0.3">
      <c r="A108" s="7"/>
      <c r="B108" s="8"/>
      <c r="C108" s="17"/>
      <c r="D108" s="17"/>
      <c r="E108" s="10">
        <f t="shared" si="1"/>
        <v>0</v>
      </c>
      <c r="F108" s="13"/>
    </row>
    <row r="109" spans="1:6" x14ac:dyDescent="0.3">
      <c r="A109" s="7"/>
      <c r="B109" s="8"/>
      <c r="C109" s="17"/>
      <c r="D109" s="17"/>
      <c r="E109" s="10">
        <f t="shared" si="1"/>
        <v>0</v>
      </c>
      <c r="F109" s="13"/>
    </row>
    <row r="110" spans="1:6" x14ac:dyDescent="0.3">
      <c r="A110" s="7"/>
      <c r="B110" s="8"/>
      <c r="C110" s="17"/>
      <c r="D110" s="17"/>
      <c r="E110" s="10">
        <f t="shared" si="1"/>
        <v>0</v>
      </c>
      <c r="F110" s="13"/>
    </row>
    <row r="111" spans="1:6" x14ac:dyDescent="0.3">
      <c r="A111" s="7"/>
      <c r="B111" s="8"/>
      <c r="C111" s="17"/>
      <c r="D111" s="17"/>
      <c r="E111" s="10">
        <f t="shared" si="1"/>
        <v>0</v>
      </c>
      <c r="F111" s="13"/>
    </row>
    <row r="112" spans="1:6" x14ac:dyDescent="0.3">
      <c r="A112" s="7"/>
      <c r="B112" s="8"/>
      <c r="C112" s="17"/>
      <c r="D112" s="17"/>
      <c r="E112" s="10">
        <f t="shared" si="1"/>
        <v>0</v>
      </c>
      <c r="F112" s="13"/>
    </row>
    <row r="113" spans="1:6" x14ac:dyDescent="0.3">
      <c r="A113" s="7"/>
      <c r="B113" s="8"/>
      <c r="C113" s="17"/>
      <c r="D113" s="17"/>
      <c r="E113" s="10">
        <f t="shared" si="1"/>
        <v>0</v>
      </c>
      <c r="F113" s="13"/>
    </row>
    <row r="114" spans="1:6" x14ac:dyDescent="0.3">
      <c r="A114" s="7"/>
      <c r="B114" s="8"/>
      <c r="C114" s="17"/>
      <c r="D114" s="17"/>
      <c r="E114" s="10">
        <f t="shared" si="1"/>
        <v>0</v>
      </c>
      <c r="F114" s="13"/>
    </row>
    <row r="115" spans="1:6" x14ac:dyDescent="0.3">
      <c r="A115" s="7"/>
      <c r="B115" s="8"/>
      <c r="C115" s="17"/>
      <c r="D115" s="17"/>
      <c r="E115" s="10">
        <f t="shared" si="1"/>
        <v>0</v>
      </c>
      <c r="F115" s="13"/>
    </row>
    <row r="116" spans="1:6" x14ac:dyDescent="0.3">
      <c r="A116" s="7"/>
      <c r="B116" s="8"/>
      <c r="C116" s="17"/>
      <c r="D116" s="17"/>
      <c r="E116" s="10">
        <f t="shared" si="1"/>
        <v>0</v>
      </c>
      <c r="F116" s="13"/>
    </row>
    <row r="117" spans="1:6" x14ac:dyDescent="0.3">
      <c r="A117" s="7"/>
      <c r="B117" s="8"/>
      <c r="C117" s="17"/>
      <c r="D117" s="17"/>
      <c r="E117" s="10">
        <f t="shared" si="1"/>
        <v>0</v>
      </c>
      <c r="F117" s="13"/>
    </row>
    <row r="118" spans="1:6" x14ac:dyDescent="0.3">
      <c r="A118" s="7"/>
      <c r="B118" s="8"/>
      <c r="C118" s="17"/>
      <c r="D118" s="17"/>
      <c r="E118" s="10">
        <f t="shared" si="1"/>
        <v>0</v>
      </c>
      <c r="F118" s="13"/>
    </row>
    <row r="119" spans="1:6" x14ac:dyDescent="0.3">
      <c r="A119" s="7"/>
      <c r="B119" s="8"/>
      <c r="C119" s="17"/>
      <c r="D119" s="17"/>
      <c r="E119" s="10">
        <f t="shared" si="1"/>
        <v>0</v>
      </c>
      <c r="F119" s="13"/>
    </row>
    <row r="120" spans="1:6" x14ac:dyDescent="0.3">
      <c r="A120" s="7"/>
      <c r="B120" s="8"/>
      <c r="C120" s="17"/>
      <c r="D120" s="17"/>
      <c r="E120" s="10">
        <f t="shared" si="1"/>
        <v>0</v>
      </c>
      <c r="F120" s="13"/>
    </row>
    <row r="121" spans="1:6" x14ac:dyDescent="0.3">
      <c r="A121" s="7"/>
      <c r="B121" s="8"/>
      <c r="C121" s="17"/>
      <c r="D121" s="17"/>
      <c r="E121" s="10">
        <f t="shared" si="1"/>
        <v>0</v>
      </c>
      <c r="F121" s="13"/>
    </row>
    <row r="122" spans="1:6" x14ac:dyDescent="0.3">
      <c r="A122" s="7"/>
      <c r="B122" s="8"/>
      <c r="C122" s="17"/>
      <c r="D122" s="17"/>
      <c r="E122" s="10">
        <f t="shared" si="1"/>
        <v>0</v>
      </c>
      <c r="F122" s="13"/>
    </row>
    <row r="123" spans="1:6" x14ac:dyDescent="0.3">
      <c r="A123" s="7"/>
      <c r="B123" s="8"/>
      <c r="C123" s="17"/>
      <c r="D123" s="17"/>
      <c r="E123" s="10">
        <f t="shared" si="1"/>
        <v>0</v>
      </c>
      <c r="F123" s="13"/>
    </row>
    <row r="124" spans="1:6" x14ac:dyDescent="0.3">
      <c r="A124" s="7"/>
      <c r="B124" s="8"/>
      <c r="C124" s="17"/>
      <c r="D124" s="17"/>
      <c r="E124" s="10">
        <f t="shared" si="1"/>
        <v>0</v>
      </c>
      <c r="F124" s="13"/>
    </row>
    <row r="125" spans="1:6" x14ac:dyDescent="0.3">
      <c r="A125" s="7"/>
      <c r="B125" s="8"/>
      <c r="C125" s="17"/>
      <c r="D125" s="17"/>
      <c r="E125" s="10">
        <f t="shared" si="1"/>
        <v>0</v>
      </c>
      <c r="F125" s="13"/>
    </row>
    <row r="126" spans="1:6" x14ac:dyDescent="0.3">
      <c r="A126" s="7"/>
      <c r="B126" s="8"/>
      <c r="C126" s="17"/>
      <c r="D126" s="17"/>
      <c r="E126" s="10">
        <f t="shared" si="1"/>
        <v>0</v>
      </c>
      <c r="F126" s="13"/>
    </row>
    <row r="127" spans="1:6" x14ac:dyDescent="0.3">
      <c r="A127" s="7"/>
      <c r="B127" s="8"/>
      <c r="C127" s="17"/>
      <c r="D127" s="17"/>
      <c r="E127" s="10">
        <f t="shared" si="1"/>
        <v>0</v>
      </c>
      <c r="F127" s="13"/>
    </row>
    <row r="128" spans="1:6" x14ac:dyDescent="0.3">
      <c r="A128" s="7"/>
      <c r="B128" s="8"/>
      <c r="C128" s="17"/>
      <c r="D128" s="17"/>
      <c r="E128" s="10">
        <f t="shared" si="1"/>
        <v>0</v>
      </c>
      <c r="F128" s="13"/>
    </row>
    <row r="129" spans="1:6" x14ac:dyDescent="0.3">
      <c r="A129" s="7"/>
      <c r="B129" s="8"/>
      <c r="C129" s="17"/>
      <c r="D129" s="17"/>
      <c r="E129" s="10">
        <f t="shared" si="1"/>
        <v>0</v>
      </c>
      <c r="F129" s="13"/>
    </row>
    <row r="130" spans="1:6" x14ac:dyDescent="0.3">
      <c r="A130" s="7"/>
      <c r="B130" s="8"/>
      <c r="C130" s="17"/>
      <c r="D130" s="17"/>
      <c r="E130" s="10">
        <f t="shared" si="1"/>
        <v>0</v>
      </c>
      <c r="F130" s="13"/>
    </row>
    <row r="131" spans="1:6" x14ac:dyDescent="0.3">
      <c r="A131" s="7"/>
      <c r="B131" s="8"/>
      <c r="C131" s="17"/>
      <c r="D131" s="17"/>
      <c r="E131" s="10">
        <f t="shared" si="1"/>
        <v>0</v>
      </c>
      <c r="F131" s="13"/>
    </row>
    <row r="132" spans="1:6" x14ac:dyDescent="0.3">
      <c r="A132" s="7"/>
      <c r="B132" s="8"/>
      <c r="C132" s="17"/>
      <c r="D132" s="17"/>
      <c r="E132" s="10">
        <f t="shared" si="1"/>
        <v>0</v>
      </c>
      <c r="F132" s="13"/>
    </row>
    <row r="133" spans="1:6" x14ac:dyDescent="0.3">
      <c r="A133" s="7"/>
      <c r="B133" s="8"/>
      <c r="C133" s="17"/>
      <c r="D133" s="17"/>
      <c r="E133" s="10">
        <f t="shared" ref="E133:E196" si="2">D133-C133</f>
        <v>0</v>
      </c>
      <c r="F133" s="13"/>
    </row>
    <row r="134" spans="1:6" x14ac:dyDescent="0.3">
      <c r="A134" s="7"/>
      <c r="B134" s="8"/>
      <c r="C134" s="17"/>
      <c r="D134" s="17"/>
      <c r="E134" s="10">
        <f t="shared" si="2"/>
        <v>0</v>
      </c>
      <c r="F134" s="13"/>
    </row>
    <row r="135" spans="1:6" x14ac:dyDescent="0.3">
      <c r="A135" s="7"/>
      <c r="B135" s="8"/>
      <c r="C135" s="17"/>
      <c r="D135" s="17"/>
      <c r="E135" s="10">
        <f t="shared" si="2"/>
        <v>0</v>
      </c>
      <c r="F135" s="13"/>
    </row>
    <row r="136" spans="1:6" x14ac:dyDescent="0.3">
      <c r="A136" s="7"/>
      <c r="B136" s="8"/>
      <c r="C136" s="17"/>
      <c r="D136" s="17"/>
      <c r="E136" s="10">
        <f t="shared" si="2"/>
        <v>0</v>
      </c>
      <c r="F136" s="13"/>
    </row>
    <row r="137" spans="1:6" x14ac:dyDescent="0.3">
      <c r="A137" s="7"/>
      <c r="B137" s="8"/>
      <c r="C137" s="17"/>
      <c r="D137" s="17"/>
      <c r="E137" s="10">
        <f t="shared" si="2"/>
        <v>0</v>
      </c>
      <c r="F137" s="13"/>
    </row>
    <row r="138" spans="1:6" x14ac:dyDescent="0.3">
      <c r="A138" s="7"/>
      <c r="B138" s="8"/>
      <c r="C138" s="17"/>
      <c r="D138" s="17"/>
      <c r="E138" s="10">
        <f t="shared" si="2"/>
        <v>0</v>
      </c>
      <c r="F138" s="13"/>
    </row>
    <row r="139" spans="1:6" x14ac:dyDescent="0.3">
      <c r="A139" s="7"/>
      <c r="B139" s="8"/>
      <c r="C139" s="17"/>
      <c r="D139" s="17"/>
      <c r="E139" s="10">
        <f t="shared" si="2"/>
        <v>0</v>
      </c>
      <c r="F139" s="13"/>
    </row>
    <row r="140" spans="1:6" x14ac:dyDescent="0.3">
      <c r="A140" s="7"/>
      <c r="B140" s="8"/>
      <c r="C140" s="17"/>
      <c r="D140" s="17"/>
      <c r="E140" s="10">
        <f t="shared" si="2"/>
        <v>0</v>
      </c>
      <c r="F140" s="13"/>
    </row>
    <row r="141" spans="1:6" x14ac:dyDescent="0.3">
      <c r="A141" s="7"/>
      <c r="B141" s="8"/>
      <c r="C141" s="17"/>
      <c r="D141" s="17"/>
      <c r="E141" s="10">
        <f t="shared" si="2"/>
        <v>0</v>
      </c>
      <c r="F141" s="13"/>
    </row>
    <row r="142" spans="1:6" x14ac:dyDescent="0.3">
      <c r="A142" s="7"/>
      <c r="B142" s="8"/>
      <c r="C142" s="17"/>
      <c r="D142" s="17"/>
      <c r="E142" s="10">
        <f t="shared" si="2"/>
        <v>0</v>
      </c>
      <c r="F142" s="13"/>
    </row>
    <row r="143" spans="1:6" x14ac:dyDescent="0.3">
      <c r="A143" s="7"/>
      <c r="B143" s="8"/>
      <c r="C143" s="17"/>
      <c r="D143" s="17"/>
      <c r="E143" s="10">
        <f t="shared" si="2"/>
        <v>0</v>
      </c>
      <c r="F143" s="13"/>
    </row>
    <row r="144" spans="1:6" x14ac:dyDescent="0.3">
      <c r="A144" s="7"/>
      <c r="B144" s="8"/>
      <c r="C144" s="17"/>
      <c r="D144" s="17"/>
      <c r="E144" s="10">
        <f t="shared" si="2"/>
        <v>0</v>
      </c>
      <c r="F144" s="13"/>
    </row>
    <row r="145" spans="1:6" x14ac:dyDescent="0.3">
      <c r="A145" s="7"/>
      <c r="B145" s="8"/>
      <c r="C145" s="17"/>
      <c r="D145" s="17"/>
      <c r="E145" s="10">
        <f t="shared" si="2"/>
        <v>0</v>
      </c>
      <c r="F145" s="13"/>
    </row>
    <row r="146" spans="1:6" x14ac:dyDescent="0.3">
      <c r="A146" s="7"/>
      <c r="B146" s="8"/>
      <c r="C146" s="17"/>
      <c r="D146" s="17"/>
      <c r="E146" s="10">
        <f t="shared" si="2"/>
        <v>0</v>
      </c>
      <c r="F146" s="13"/>
    </row>
    <row r="147" spans="1:6" x14ac:dyDescent="0.3">
      <c r="A147" s="7"/>
      <c r="B147" s="8"/>
      <c r="C147" s="17"/>
      <c r="D147" s="17"/>
      <c r="E147" s="10">
        <f t="shared" si="2"/>
        <v>0</v>
      </c>
      <c r="F147" s="13"/>
    </row>
    <row r="148" spans="1:6" x14ac:dyDescent="0.3">
      <c r="A148" s="7"/>
      <c r="B148" s="8"/>
      <c r="C148" s="17"/>
      <c r="D148" s="17"/>
      <c r="E148" s="10">
        <f t="shared" si="2"/>
        <v>0</v>
      </c>
      <c r="F148" s="13"/>
    </row>
    <row r="149" spans="1:6" x14ac:dyDescent="0.3">
      <c r="A149" s="7"/>
      <c r="B149" s="8"/>
      <c r="C149" s="17"/>
      <c r="D149" s="17"/>
      <c r="E149" s="10">
        <f t="shared" si="2"/>
        <v>0</v>
      </c>
      <c r="F149" s="13"/>
    </row>
    <row r="150" spans="1:6" x14ac:dyDescent="0.3">
      <c r="A150" s="7"/>
      <c r="B150" s="8"/>
      <c r="C150" s="17"/>
      <c r="D150" s="17"/>
      <c r="E150" s="10">
        <f t="shared" si="2"/>
        <v>0</v>
      </c>
      <c r="F150" s="13"/>
    </row>
    <row r="151" spans="1:6" x14ac:dyDescent="0.3">
      <c r="A151" s="7"/>
      <c r="B151" s="8"/>
      <c r="C151" s="17"/>
      <c r="D151" s="17"/>
      <c r="E151" s="10">
        <f t="shared" si="2"/>
        <v>0</v>
      </c>
      <c r="F151" s="13"/>
    </row>
    <row r="152" spans="1:6" x14ac:dyDescent="0.3">
      <c r="A152" s="7"/>
      <c r="B152" s="8"/>
      <c r="C152" s="17"/>
      <c r="D152" s="17"/>
      <c r="E152" s="10">
        <f t="shared" si="2"/>
        <v>0</v>
      </c>
      <c r="F152" s="13"/>
    </row>
    <row r="153" spans="1:6" x14ac:dyDescent="0.3">
      <c r="A153" s="7"/>
      <c r="B153" s="8"/>
      <c r="C153" s="17"/>
      <c r="D153" s="17"/>
      <c r="E153" s="10">
        <f t="shared" si="2"/>
        <v>0</v>
      </c>
      <c r="F153" s="13"/>
    </row>
    <row r="154" spans="1:6" x14ac:dyDescent="0.3">
      <c r="A154" s="7"/>
      <c r="B154" s="8"/>
      <c r="C154" s="17"/>
      <c r="D154" s="17"/>
      <c r="E154" s="10">
        <f t="shared" si="2"/>
        <v>0</v>
      </c>
      <c r="F154" s="13"/>
    </row>
    <row r="155" spans="1:6" x14ac:dyDescent="0.3">
      <c r="A155" s="7"/>
      <c r="B155" s="8"/>
      <c r="C155" s="17"/>
      <c r="D155" s="17"/>
      <c r="E155" s="10">
        <f t="shared" si="2"/>
        <v>0</v>
      </c>
      <c r="F155" s="13"/>
    </row>
    <row r="156" spans="1:6" x14ac:dyDescent="0.3">
      <c r="A156" s="7"/>
      <c r="B156" s="8"/>
      <c r="C156" s="17"/>
      <c r="D156" s="17"/>
      <c r="E156" s="10">
        <f t="shared" si="2"/>
        <v>0</v>
      </c>
      <c r="F156" s="13"/>
    </row>
    <row r="157" spans="1:6" x14ac:dyDescent="0.3">
      <c r="A157" s="7"/>
      <c r="B157" s="8"/>
      <c r="C157" s="17"/>
      <c r="D157" s="17"/>
      <c r="E157" s="10">
        <f t="shared" si="2"/>
        <v>0</v>
      </c>
      <c r="F157" s="13"/>
    </row>
    <row r="158" spans="1:6" x14ac:dyDescent="0.3">
      <c r="A158" s="7"/>
      <c r="B158" s="8"/>
      <c r="C158" s="17"/>
      <c r="D158" s="17"/>
      <c r="E158" s="10">
        <f t="shared" si="2"/>
        <v>0</v>
      </c>
      <c r="F158" s="13"/>
    </row>
    <row r="159" spans="1:6" x14ac:dyDescent="0.3">
      <c r="A159" s="7"/>
      <c r="B159" s="8"/>
      <c r="C159" s="17"/>
      <c r="D159" s="17"/>
      <c r="E159" s="10">
        <f t="shared" si="2"/>
        <v>0</v>
      </c>
      <c r="F159" s="13"/>
    </row>
    <row r="160" spans="1:6" x14ac:dyDescent="0.3">
      <c r="A160" s="7"/>
      <c r="B160" s="8"/>
      <c r="C160" s="17"/>
      <c r="D160" s="17"/>
      <c r="E160" s="10">
        <f t="shared" si="2"/>
        <v>0</v>
      </c>
      <c r="F160" s="13"/>
    </row>
    <row r="161" spans="1:6" x14ac:dyDescent="0.3">
      <c r="A161" s="7"/>
      <c r="B161" s="8"/>
      <c r="C161" s="17"/>
      <c r="D161" s="17"/>
      <c r="E161" s="10">
        <f t="shared" si="2"/>
        <v>0</v>
      </c>
      <c r="F161" s="13"/>
    </row>
    <row r="162" spans="1:6" x14ac:dyDescent="0.3">
      <c r="A162" s="7"/>
      <c r="B162" s="8"/>
      <c r="C162" s="17"/>
      <c r="D162" s="17"/>
      <c r="E162" s="10">
        <f t="shared" si="2"/>
        <v>0</v>
      </c>
      <c r="F162" s="13"/>
    </row>
    <row r="163" spans="1:6" x14ac:dyDescent="0.3">
      <c r="A163" s="7"/>
      <c r="B163" s="8"/>
      <c r="C163" s="17"/>
      <c r="D163" s="17"/>
      <c r="E163" s="10">
        <f t="shared" si="2"/>
        <v>0</v>
      </c>
      <c r="F163" s="13"/>
    </row>
    <row r="164" spans="1:6" x14ac:dyDescent="0.3">
      <c r="A164" s="7"/>
      <c r="B164" s="8"/>
      <c r="C164" s="17"/>
      <c r="D164" s="17"/>
      <c r="E164" s="10">
        <f t="shared" si="2"/>
        <v>0</v>
      </c>
      <c r="F164" s="13"/>
    </row>
    <row r="165" spans="1:6" x14ac:dyDescent="0.3">
      <c r="A165" s="7"/>
      <c r="B165" s="8"/>
      <c r="C165" s="17"/>
      <c r="D165" s="17"/>
      <c r="E165" s="10">
        <f t="shared" si="2"/>
        <v>0</v>
      </c>
      <c r="F165" s="13"/>
    </row>
    <row r="166" spans="1:6" x14ac:dyDescent="0.3">
      <c r="A166" s="7"/>
      <c r="B166" s="8"/>
      <c r="C166" s="17"/>
      <c r="D166" s="17"/>
      <c r="E166" s="10">
        <f t="shared" si="2"/>
        <v>0</v>
      </c>
      <c r="F166" s="13"/>
    </row>
    <row r="167" spans="1:6" x14ac:dyDescent="0.3">
      <c r="A167" s="7"/>
      <c r="B167" s="8"/>
      <c r="C167" s="17"/>
      <c r="D167" s="17"/>
      <c r="E167" s="10">
        <f t="shared" si="2"/>
        <v>0</v>
      </c>
      <c r="F167" s="13"/>
    </row>
    <row r="168" spans="1:6" x14ac:dyDescent="0.3">
      <c r="A168" s="7"/>
      <c r="B168" s="8"/>
      <c r="C168" s="17"/>
      <c r="D168" s="17"/>
      <c r="E168" s="10">
        <f t="shared" si="2"/>
        <v>0</v>
      </c>
      <c r="F168" s="13"/>
    </row>
    <row r="169" spans="1:6" x14ac:dyDescent="0.3">
      <c r="A169" s="7"/>
      <c r="B169" s="8"/>
      <c r="C169" s="17"/>
      <c r="D169" s="17"/>
      <c r="E169" s="10">
        <f t="shared" si="2"/>
        <v>0</v>
      </c>
      <c r="F169" s="13"/>
    </row>
    <row r="170" spans="1:6" x14ac:dyDescent="0.3">
      <c r="A170" s="7"/>
      <c r="B170" s="8"/>
      <c r="C170" s="17"/>
      <c r="D170" s="17"/>
      <c r="E170" s="10">
        <f t="shared" si="2"/>
        <v>0</v>
      </c>
      <c r="F170" s="13"/>
    </row>
    <row r="171" spans="1:6" x14ac:dyDescent="0.3">
      <c r="A171" s="7"/>
      <c r="B171" s="8"/>
      <c r="C171" s="17"/>
      <c r="D171" s="17"/>
      <c r="E171" s="10">
        <f t="shared" si="2"/>
        <v>0</v>
      </c>
      <c r="F171" s="13"/>
    </row>
    <row r="172" spans="1:6" x14ac:dyDescent="0.3">
      <c r="A172" s="7"/>
      <c r="B172" s="8"/>
      <c r="C172" s="17"/>
      <c r="D172" s="17"/>
      <c r="E172" s="10">
        <f t="shared" si="2"/>
        <v>0</v>
      </c>
      <c r="F172" s="13"/>
    </row>
    <row r="173" spans="1:6" x14ac:dyDescent="0.3">
      <c r="A173" s="7"/>
      <c r="B173" s="8"/>
      <c r="C173" s="17"/>
      <c r="D173" s="17"/>
      <c r="E173" s="10">
        <f t="shared" si="2"/>
        <v>0</v>
      </c>
      <c r="F173" s="13"/>
    </row>
    <row r="174" spans="1:6" x14ac:dyDescent="0.3">
      <c r="A174" s="7"/>
      <c r="B174" s="8"/>
      <c r="C174" s="17"/>
      <c r="D174" s="17"/>
      <c r="E174" s="10">
        <f t="shared" si="2"/>
        <v>0</v>
      </c>
      <c r="F174" s="13"/>
    </row>
    <row r="175" spans="1:6" x14ac:dyDescent="0.3">
      <c r="A175" s="7"/>
      <c r="B175" s="8"/>
      <c r="C175" s="17"/>
      <c r="D175" s="17"/>
      <c r="E175" s="10">
        <f t="shared" si="2"/>
        <v>0</v>
      </c>
      <c r="F175" s="13"/>
    </row>
    <row r="176" spans="1:6" x14ac:dyDescent="0.3">
      <c r="A176" s="7"/>
      <c r="B176" s="8"/>
      <c r="C176" s="17"/>
      <c r="D176" s="17"/>
      <c r="E176" s="10">
        <f t="shared" si="2"/>
        <v>0</v>
      </c>
      <c r="F176" s="13"/>
    </row>
    <row r="177" spans="1:6" x14ac:dyDescent="0.3">
      <c r="A177" s="7"/>
      <c r="B177" s="8"/>
      <c r="C177" s="17"/>
      <c r="D177" s="17"/>
      <c r="E177" s="10">
        <f t="shared" si="2"/>
        <v>0</v>
      </c>
      <c r="F177" s="13"/>
    </row>
    <row r="178" spans="1:6" x14ac:dyDescent="0.3">
      <c r="A178" s="7"/>
      <c r="B178" s="8"/>
      <c r="C178" s="17"/>
      <c r="D178" s="17"/>
      <c r="E178" s="10">
        <f t="shared" si="2"/>
        <v>0</v>
      </c>
      <c r="F178" s="13"/>
    </row>
    <row r="179" spans="1:6" x14ac:dyDescent="0.3">
      <c r="A179" s="7"/>
      <c r="B179" s="8"/>
      <c r="C179" s="17"/>
      <c r="D179" s="17"/>
      <c r="E179" s="10">
        <f t="shared" si="2"/>
        <v>0</v>
      </c>
      <c r="F179" s="13"/>
    </row>
    <row r="180" spans="1:6" x14ac:dyDescent="0.3">
      <c r="A180" s="7"/>
      <c r="B180" s="8"/>
      <c r="C180" s="17"/>
      <c r="D180" s="17"/>
      <c r="E180" s="10">
        <f t="shared" si="2"/>
        <v>0</v>
      </c>
      <c r="F180" s="13"/>
    </row>
    <row r="181" spans="1:6" x14ac:dyDescent="0.3">
      <c r="A181" s="7"/>
      <c r="B181" s="8"/>
      <c r="C181" s="17"/>
      <c r="D181" s="17"/>
      <c r="E181" s="10">
        <f t="shared" si="2"/>
        <v>0</v>
      </c>
      <c r="F181" s="13"/>
    </row>
    <row r="182" spans="1:6" x14ac:dyDescent="0.3">
      <c r="A182" s="7"/>
      <c r="B182" s="8"/>
      <c r="C182" s="17"/>
      <c r="D182" s="17"/>
      <c r="E182" s="10">
        <f t="shared" si="2"/>
        <v>0</v>
      </c>
      <c r="F182" s="13"/>
    </row>
    <row r="183" spans="1:6" x14ac:dyDescent="0.3">
      <c r="A183" s="7"/>
      <c r="B183" s="8"/>
      <c r="C183" s="17"/>
      <c r="D183" s="17"/>
      <c r="E183" s="10">
        <f t="shared" si="2"/>
        <v>0</v>
      </c>
      <c r="F183" s="13"/>
    </row>
    <row r="184" spans="1:6" x14ac:dyDescent="0.3">
      <c r="A184" s="7"/>
      <c r="B184" s="8"/>
      <c r="C184" s="17"/>
      <c r="D184" s="17"/>
      <c r="E184" s="10">
        <f t="shared" si="2"/>
        <v>0</v>
      </c>
      <c r="F184" s="13"/>
    </row>
    <row r="185" spans="1:6" x14ac:dyDescent="0.3">
      <c r="A185" s="7"/>
      <c r="B185" s="8"/>
      <c r="C185" s="17"/>
      <c r="D185" s="17"/>
      <c r="E185" s="10">
        <f t="shared" si="2"/>
        <v>0</v>
      </c>
      <c r="F185" s="13"/>
    </row>
    <row r="186" spans="1:6" x14ac:dyDescent="0.3">
      <c r="A186" s="7"/>
      <c r="B186" s="8"/>
      <c r="C186" s="17"/>
      <c r="D186" s="17"/>
      <c r="E186" s="10">
        <f t="shared" si="2"/>
        <v>0</v>
      </c>
      <c r="F186" s="13"/>
    </row>
    <row r="187" spans="1:6" x14ac:dyDescent="0.3">
      <c r="A187" s="7"/>
      <c r="B187" s="8"/>
      <c r="C187" s="17"/>
      <c r="D187" s="17"/>
      <c r="E187" s="10">
        <f t="shared" si="2"/>
        <v>0</v>
      </c>
      <c r="F187" s="13"/>
    </row>
    <row r="188" spans="1:6" x14ac:dyDescent="0.3">
      <c r="A188" s="7"/>
      <c r="B188" s="8"/>
      <c r="C188" s="17"/>
      <c r="D188" s="17"/>
      <c r="E188" s="10">
        <f t="shared" si="2"/>
        <v>0</v>
      </c>
      <c r="F188" s="13"/>
    </row>
    <row r="189" spans="1:6" x14ac:dyDescent="0.3">
      <c r="A189" s="7"/>
      <c r="B189" s="8"/>
      <c r="C189" s="17"/>
      <c r="D189" s="17"/>
      <c r="E189" s="10">
        <f t="shared" si="2"/>
        <v>0</v>
      </c>
      <c r="F189" s="13"/>
    </row>
    <row r="190" spans="1:6" x14ac:dyDescent="0.3">
      <c r="A190" s="7"/>
      <c r="B190" s="8"/>
      <c r="C190" s="17"/>
      <c r="D190" s="17"/>
      <c r="E190" s="10">
        <f t="shared" si="2"/>
        <v>0</v>
      </c>
      <c r="F190" s="13"/>
    </row>
    <row r="191" spans="1:6" x14ac:dyDescent="0.3">
      <c r="A191" s="7"/>
      <c r="B191" s="8"/>
      <c r="C191" s="17"/>
      <c r="D191" s="17"/>
      <c r="E191" s="10">
        <f t="shared" si="2"/>
        <v>0</v>
      </c>
      <c r="F191" s="13"/>
    </row>
    <row r="192" spans="1:6" x14ac:dyDescent="0.3">
      <c r="A192" s="7"/>
      <c r="B192" s="8"/>
      <c r="C192" s="17"/>
      <c r="D192" s="17"/>
      <c r="E192" s="10">
        <f t="shared" si="2"/>
        <v>0</v>
      </c>
      <c r="F192" s="13"/>
    </row>
    <row r="193" spans="1:6" x14ac:dyDescent="0.3">
      <c r="A193" s="7"/>
      <c r="B193" s="8"/>
      <c r="C193" s="17"/>
      <c r="D193" s="17"/>
      <c r="E193" s="10">
        <f t="shared" si="2"/>
        <v>0</v>
      </c>
      <c r="F193" s="13"/>
    </row>
    <row r="194" spans="1:6" x14ac:dyDescent="0.3">
      <c r="A194" s="7"/>
      <c r="B194" s="8"/>
      <c r="C194" s="17"/>
      <c r="D194" s="17"/>
      <c r="E194" s="10">
        <f t="shared" si="2"/>
        <v>0</v>
      </c>
      <c r="F194" s="13"/>
    </row>
    <row r="195" spans="1:6" x14ac:dyDescent="0.3">
      <c r="A195" s="7"/>
      <c r="B195" s="8"/>
      <c r="C195" s="17"/>
      <c r="D195" s="17"/>
      <c r="E195" s="10">
        <f t="shared" si="2"/>
        <v>0</v>
      </c>
      <c r="F195" s="13"/>
    </row>
    <row r="196" spans="1:6" x14ac:dyDescent="0.3">
      <c r="A196" s="7"/>
      <c r="B196" s="8"/>
      <c r="C196" s="17"/>
      <c r="D196" s="17"/>
      <c r="E196" s="10">
        <f t="shared" si="2"/>
        <v>0</v>
      </c>
      <c r="F196" s="13"/>
    </row>
    <row r="197" spans="1:6" x14ac:dyDescent="0.3">
      <c r="A197" s="7"/>
      <c r="B197" s="8"/>
      <c r="C197" s="17"/>
      <c r="D197" s="17"/>
      <c r="E197" s="10">
        <f t="shared" ref="E197:E199" si="3">D197-C197</f>
        <v>0</v>
      </c>
      <c r="F197" s="13"/>
    </row>
    <row r="198" spans="1:6" x14ac:dyDescent="0.3">
      <c r="A198" s="7"/>
      <c r="B198" s="8"/>
      <c r="C198" s="17"/>
      <c r="D198" s="17"/>
      <c r="E198" s="10">
        <f t="shared" si="3"/>
        <v>0</v>
      </c>
      <c r="F198" s="13"/>
    </row>
    <row r="199" spans="1:6" ht="15" thickBot="1" x14ac:dyDescent="0.35">
      <c r="A199" s="16"/>
      <c r="B199" s="11"/>
      <c r="C199" s="18"/>
      <c r="D199" s="18"/>
      <c r="E199" s="12">
        <f t="shared" si="3"/>
        <v>0</v>
      </c>
      <c r="F199"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Boler, Aspen  (GE Appliances, Haier)</dc:creator>
  <cp:lastModifiedBy>Boler, Aspen  (GE Appliances, Haier)</cp:lastModifiedBy>
  <dcterms:created xsi:type="dcterms:W3CDTF">2025-10-17T18:56:29Z</dcterms:created>
  <dcterms:modified xsi:type="dcterms:W3CDTF">2026-04-02T20:19:54Z</dcterms:modified>
</cp:coreProperties>
</file>