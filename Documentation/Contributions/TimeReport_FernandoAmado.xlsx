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eu\Downloads\"/>
    </mc:Choice>
  </mc:AlternateContent>
  <xr:revisionPtr revIDLastSave="0" documentId="8_{15092965-FE44-4C44-BD67-84A595E85A99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<sst xmlns="http://schemas.openxmlformats.org/spreadsheetml/2006/main" count="31" uniqueCount="29">
  <si>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</si>
  <si>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</si>
  <si>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</si>
  <si>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</si>
  <si>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</si>
  <si>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</si>
  <si>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</si>
  <si>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</si>
  <si>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</si>
  <si>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</si>
  <si>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</si>
  <si>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</si>
  <si>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</si>
  <si>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Fernando Amado</t>
  </si>
  <si>
    <t>Research , Documentation and Revision of Statement of Work and Schedule</t>
  </si>
  <si>
    <t>Bill of Materials</t>
  </si>
  <si>
    <t>Investigating various similar IoT projects and Modules. Informs Bill of Materials, bottlenecks, constraints and technology we might not have initially considered.</t>
  </si>
  <si>
    <t>Development</t>
  </si>
  <si>
    <t>Worked with group to configure environments for embedded development, build test circuit for experiment with microcontroller, and test adc example with test circuit.</t>
  </si>
  <si>
    <t>Debugging</t>
  </si>
  <si>
    <t>Debugged personal environment to continue work in github integrated workflow. In the meantime helped set up test circuits and microcontroller experiments.</t>
  </si>
  <si>
    <t>Configured Wifi locally</t>
  </si>
  <si>
    <t>Configured WIFI locally working on porting it to main</t>
  </si>
  <si>
    <t>Set up basic HTTP</t>
  </si>
  <si>
    <t>HTTP request for GET configured</t>
  </si>
  <si>
    <t>Remake HTTP</t>
  </si>
  <si>
    <t>Integrate HTTP Requests</t>
  </si>
  <si>
    <t>Implemented HTTP Put with Threads/Tasks, researched CJSON to fix pinging requests</t>
  </si>
  <si>
    <t>Moved source functions from the body of the sources files into the main loop, successful output of sensor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</si>
</sst>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  <xf numFmtId="20" fontId="0" fillId="3" borderId="9" xfId="0" applyNumberFormat="1" applyFill="1" applyBorder="1" applyAlignment="1">
      <alignment horizontal="center"/>
    </xf>
    <xf numFmtId="16" fontId="0" fillId="3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workbookViewId="0">
      <selection activeCell="F21" sqref="F2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6" ht="15" thickBot="1" x14ac:dyDescent="0.35">
      <c r="A1" s="1" t="s">
        <v>0</v>
      </c>
      <c r="B1" s="5" t="s">
        <v>13</v>
      </c>
      <c r="D1" s="1" t="s">
        <v>10</v>
      </c>
      <c r="E1" s="6">
        <f>SUM(E4:E199)</f>
        <v>2.0972222222222223</v>
      </c>
      <c r="F1" s="17"/>
    </row>
    <row r="2" spans="1:6" ht="15" thickBot="1" x14ac:dyDescent="0.35"/>
    <row r="3" spans="1:6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6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6" x14ac:dyDescent="0.3">
      <c r="A5" s="7">
        <v>45934</v>
      </c>
      <c r="B5" s="8" t="s">
        <v>7</v>
      </c>
      <c r="C5" s="9">
        <v>0.625</v>
      </c>
      <c r="D5" s="9">
        <v>0.81597222222222221</v>
      </c>
      <c r="E5" s="10">
        <f t="shared" ref="E5:E68" si="0">D5-C5</f>
        <v>0.19097222222222221</v>
      </c>
      <c r="F5" s="15" t="s">
        <v>14</v>
      </c>
    </row>
    <row r="6" spans="1:6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si="0"/>
        <v>2.2222222222222254E-2</v>
      </c>
      <c r="F6" s="15" t="s">
        <v>11</v>
      </c>
    </row>
    <row r="7" spans="1:6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12</v>
      </c>
    </row>
    <row r="8" spans="1:6" x14ac:dyDescent="0.3">
      <c r="A8" s="7">
        <v>45948</v>
      </c>
      <c r="B8" s="8" t="s">
        <v>15</v>
      </c>
      <c r="C8" s="9">
        <v>0.60833333333333328</v>
      </c>
      <c r="D8" s="9">
        <v>0.75</v>
      </c>
      <c r="E8" s="10">
        <f t="shared" si="0"/>
        <v>0.14166666666666672</v>
      </c>
      <c r="F8" s="15" t="s">
        <v>16</v>
      </c>
    </row>
    <row r="9" spans="1:6" x14ac:dyDescent="0.3">
      <c r="A9" s="7">
        <v>45954</v>
      </c>
      <c r="B9" s="8" t="s">
        <v>17</v>
      </c>
      <c r="C9" s="9">
        <v>0.61111111111111116</v>
      </c>
      <c r="D9" s="9">
        <v>0.89583333333333337</v>
      </c>
      <c r="E9" s="10">
        <f t="shared" si="0"/>
        <v>0.28472222222222221</v>
      </c>
      <c r="F9" s="15" t="s">
        <v>18</v>
      </c>
    </row>
    <row r="10" spans="1:6" x14ac:dyDescent="0.3">
      <c r="A10" s="7">
        <v>45955</v>
      </c>
      <c r="B10" s="8" t="s">
        <v>19</v>
      </c>
      <c r="C10" s="9">
        <v>0.45833333333333331</v>
      </c>
      <c r="D10" s="9">
        <v>0.66666666666666663</v>
      </c>
      <c r="E10" s="10">
        <f t="shared" si="0"/>
        <v>0.20833333333333331</v>
      </c>
      <c r="F10" s="15" t="s">
        <v>20</v>
      </c>
    </row>
    <row r="11" spans="1:6" x14ac:dyDescent="0.3">
      <c r="B11" s="8"/>
      <c r="C11" s="8"/>
      <c r="D11" s="8"/>
      <c r="E11" s="10">
        <f t="shared" si="0"/>
        <v>0</v>
      </c>
      <c r="F11" s="15"/>
    </row>
    <row r="12" spans="1:6" x14ac:dyDescent="0.3">
      <c r="A12" s="7"/>
      <c r="B12" s="8"/>
      <c r="C12" s="18"/>
      <c r="D12" s="18"/>
      <c r="E12" s="10"/>
      <c r="F12" s="15"/>
    </row>
    <row r="13" spans="1:6" x14ac:dyDescent="0.3">
      <c r="A13" s="7">
        <v>45972</v>
      </c>
      <c r="B13" s="8" t="s">
        <v>21</v>
      </c>
      <c r="C13" s="18">
        <v>0.47916666666666669</v>
      </c>
      <c r="D13" s="9">
        <v>0.72222222222222221</v>
      </c>
      <c r="E13" s="10">
        <f t="shared" si="0"/>
        <v>0.24305555555555552</v>
      </c>
      <c r="F13" s="15" t="s">
        <v>22</v>
      </c>
    </row>
    <row r="14" spans="1:6" x14ac:dyDescent="0.3">
      <c r="A14" s="19">
        <v>45974</v>
      </c>
      <c r="B14" s="8" t="s">
        <v>23</v>
      </c>
      <c r="C14" s="18">
        <v>0.5</v>
      </c>
      <c r="D14" s="9">
        <v>0.81805555555555554</v>
      </c>
      <c r="E14" s="10">
        <f t="shared" si="0"/>
        <v>0.31805555555555554</v>
      </c>
      <c r="F14" s="15" t="s">
        <v>24</v>
      </c>
    </row>
    <row r="15" spans="1:6" x14ac:dyDescent="0.3">
      <c r="A15" s="7">
        <v>45976</v>
      </c>
      <c r="B15" s="8" t="s">
        <v>25</v>
      </c>
      <c r="C15" s="18">
        <v>0.47916666666666669</v>
      </c>
      <c r="D15" s="9">
        <v>0.77638888888888891</v>
      </c>
      <c r="E15" s="10">
        <f t="shared" si="0"/>
        <v>0.29722222222222222</v>
      </c>
      <c r="F15" s="15" t="s">
        <v>27</v>
      </c>
    </row>
    <row r="16" spans="1:6" x14ac:dyDescent="0.3">
      <c r="A16" s="7">
        <v>45977</v>
      </c>
      <c r="B16" s="8" t="s">
        <v>26</v>
      </c>
      <c r="C16" s="18">
        <v>0.45833333333333331</v>
      </c>
      <c r="D16" s="9">
        <v>0.6875</v>
      </c>
      <c r="E16" s="10">
        <f t="shared" si="0"/>
        <v>0.22916666666666669</v>
      </c>
      <c r="F16" s="15" t="s">
        <v>28</v>
      </c>
    </row>
    <row r="17" spans="1:6" x14ac:dyDescent="0.3">
      <c r="A17" s="11"/>
      <c r="B17" s="8"/>
      <c r="C17" s="8"/>
      <c r="D17" s="8"/>
      <c r="E17" s="10">
        <f t="shared" si="0"/>
        <v>0</v>
      </c>
      <c r="F17" s="15"/>
    </row>
    <row r="18" spans="1:6" x14ac:dyDescent="0.3">
      <c r="A18" s="11"/>
      <c r="B18" s="8"/>
      <c r="C18" s="8"/>
      <c r="D18" s="8"/>
      <c r="E18" s="10">
        <f t="shared" si="0"/>
        <v>0</v>
      </c>
      <c r="F18" s="15"/>
    </row>
    <row r="19" spans="1:6" x14ac:dyDescent="0.3">
      <c r="A19" s="11"/>
      <c r="B19" s="8"/>
      <c r="C19" s="8"/>
      <c r="D19" s="8"/>
      <c r="E19" s="10">
        <f t="shared" si="0"/>
        <v>0</v>
      </c>
      <c r="F19" s="15"/>
    </row>
    <row r="20" spans="1:6" x14ac:dyDescent="0.3">
      <c r="A20" s="11"/>
      <c r="B20" s="8"/>
      <c r="C20" s="8"/>
      <c r="D20" s="8"/>
      <c r="E20" s="10">
        <f t="shared" si="0"/>
        <v>0</v>
      </c>
      <c r="F20" s="15"/>
    </row>
    <row r="21" spans="1:6" x14ac:dyDescent="0.3">
      <c r="A21" s="11"/>
      <c r="B21" s="8"/>
      <c r="C21" s="8"/>
      <c r="D21" s="8"/>
      <c r="E21" s="10">
        <f t="shared" si="0"/>
        <v>0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ref="E69:E132" si="1">D69-C69</f>
        <v>0</v>
      </c>
      <c r="F69" s="15"/>
    </row>
    <row r="70" spans="1:6" x14ac:dyDescent="0.3">
      <c r="A70" s="11"/>
      <c r="B70" s="8"/>
      <c r="C70" s="8"/>
      <c r="D70" s="8"/>
      <c r="E70" s="10">
        <f t="shared" si="1"/>
        <v>0</v>
      </c>
      <c r="F70" s="15"/>
    </row>
    <row r="71" spans="1:6" x14ac:dyDescent="0.3">
      <c r="A71" s="11"/>
      <c r="B71" s="8"/>
      <c r="C71" s="8"/>
      <c r="D71" s="8"/>
      <c r="E71" s="10">
        <f t="shared" si="1"/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ref="E133:E196" si="2">D133-C133</f>
        <v>0</v>
      </c>
      <c r="F133" s="15"/>
    </row>
    <row r="134" spans="1:6" x14ac:dyDescent="0.3">
      <c r="A134" s="11"/>
      <c r="B134" s="8"/>
      <c r="C134" s="8"/>
      <c r="D134" s="8"/>
      <c r="E134" s="10">
        <f t="shared" si="2"/>
        <v>0</v>
      </c>
      <c r="F134" s="15"/>
    </row>
    <row r="135" spans="1:6" x14ac:dyDescent="0.3">
      <c r="A135" s="11"/>
      <c r="B135" s="8"/>
      <c r="C135" s="8"/>
      <c r="D135" s="8"/>
      <c r="E135" s="10">
        <f t="shared" si="2"/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ref="E197:E199" si="3">D197-C197</f>
        <v>0</v>
      </c>
      <c r="F197" s="15"/>
    </row>
    <row r="198" spans="1:6" x14ac:dyDescent="0.3">
      <c r="A198" s="11"/>
      <c r="B198" s="8"/>
      <c r="C198" s="8"/>
      <c r="D198" s="8"/>
      <c r="E198" s="10">
        <f t="shared" si="3"/>
        <v>0</v>
      </c>
      <c r="F198" s="15"/>
    </row>
    <row r="199" spans="1:6" ht="15" thickBot="1" x14ac:dyDescent="0.35">
      <c r="A199" s="12"/>
      <c r="B199" s="13"/>
      <c r="C199" s="13"/>
      <c r="D199" s="13"/>
      <c r="E199" s="14">
        <f t="shared" si="3"/>
        <v>0</v>
      </c>
      <c r="F199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Fernando Amado</cp:lastModifiedBy>
  <dcterms:created xsi:type="dcterms:W3CDTF">2025-10-17T18:56:29Z</dcterms:created>
  <dcterms:modified xsi:type="dcterms:W3CDTF">2025-11-17T18:22:12Z</dcterms:modified>
</cp:coreProperties>
</file>